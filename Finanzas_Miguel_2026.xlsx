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Transacciones" sheetId="2" state="visible" r:id="rId2"/>
    <sheet xmlns:r="http://schemas.openxmlformats.org/officeDocument/2006/relationships" name="📅 Resumen Mensual" sheetId="3" state="visible" r:id="rId3"/>
    <sheet xmlns:r="http://schemas.openxmlformats.org/officeDocument/2006/relationships" name="🎯 Presupuesto" sheetId="4" state="visible" r:id="rId4"/>
    <sheet xmlns:r="http://schemas.openxmlformats.org/officeDocument/2006/relationships" name="ℹ️ Instruc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;[Red]-#,##0.00 &quot;€&quot;;&quot;-&quot;"/>
    <numFmt numFmtId="165" formatCode="0.0%"/>
  </numFmts>
  <fonts count="37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color rgb="0064748B"/>
      <sz val="10"/>
    </font>
    <font>
      <name val="Arial"/>
      <b val="1"/>
      <color rgb="00FFFFFF"/>
      <sz val="9"/>
    </font>
    <font>
      <name val="Arial"/>
      <b val="1"/>
      <color rgb="0010B981"/>
      <sz val="20"/>
    </font>
    <font>
      <name val="Arial"/>
      <color rgb="0094A3B8"/>
      <sz val="8"/>
    </font>
    <font>
      <name val="Arial"/>
      <b val="1"/>
      <color rgb="00EF4444"/>
      <sz val="20"/>
    </font>
    <font>
      <name val="Arial"/>
      <b val="1"/>
      <color rgb="006366F1"/>
      <sz val="20"/>
    </font>
    <font>
      <name val="Arial"/>
      <b val="1"/>
      <color rgb="00F59E0B"/>
      <sz val="20"/>
    </font>
    <font>
      <name val="Arial"/>
      <b val="1"/>
      <color rgb="00FFFFFF"/>
      <sz val="11"/>
    </font>
    <font>
      <name val="Arial"/>
      <b val="1"/>
      <color rgb="0022C55E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3B82F6"/>
      <sz val="10"/>
    </font>
    <font>
      <name val="Arial"/>
      <b val="1"/>
      <color rgb="00F59E0B"/>
      <sz val="10"/>
    </font>
    <font>
      <name val="Arial"/>
      <b val="1"/>
      <color rgb="00EC4899"/>
      <sz val="10"/>
    </font>
    <font>
      <name val="Arial"/>
      <b val="1"/>
      <color rgb="00A855F7"/>
      <sz val="10"/>
    </font>
    <font>
      <name val="Arial"/>
      <b val="1"/>
      <color rgb="0014B8A6"/>
      <sz val="10"/>
    </font>
    <font>
      <name val="Arial"/>
      <b val="1"/>
      <color rgb="006366F1"/>
      <sz val="10"/>
    </font>
    <font>
      <name val="Arial"/>
      <b val="1"/>
      <color rgb="0094A3B8"/>
      <sz val="10"/>
    </font>
    <font>
      <name val="Arial"/>
      <b val="1"/>
      <color rgb="00FFFFFF"/>
      <sz val="16"/>
    </font>
    <font>
      <name val="Arial"/>
      <i val="1"/>
      <color rgb="0064748B"/>
      <sz val="9"/>
    </font>
    <font>
      <name val="Arial"/>
      <b val="1"/>
      <color rgb="0010B981"/>
      <sz val="10"/>
    </font>
    <font>
      <name val="Arial"/>
      <i val="1"/>
      <color rgb="006366F1"/>
      <sz val="9"/>
    </font>
    <font>
      <name val="Arial"/>
      <b val="1"/>
      <sz val="10"/>
    </font>
    <font>
      <name val="Arial"/>
      <color rgb="0022C55E"/>
      <sz val="10"/>
    </font>
    <font>
      <name val="Arial"/>
      <color rgb="00000000"/>
      <sz val="10"/>
    </font>
    <font>
      <name val="Arial"/>
      <color rgb="003B82F6"/>
      <sz val="10"/>
    </font>
    <font>
      <name val="Arial"/>
      <color rgb="00F59E0B"/>
      <sz val="10"/>
    </font>
    <font>
      <name val="Arial"/>
      <color rgb="00EC4899"/>
      <sz val="10"/>
    </font>
    <font>
      <name val="Arial"/>
      <color rgb="00A855F7"/>
      <sz val="10"/>
    </font>
    <font>
      <name val="Arial"/>
      <color rgb="0014B8A6"/>
      <sz val="10"/>
    </font>
    <font>
      <name val="Arial"/>
      <color rgb="006366F1"/>
      <sz val="10"/>
    </font>
    <font>
      <name val="Arial"/>
      <color rgb="0094A3B8"/>
      <sz val="10"/>
    </font>
    <font>
      <name val="Arial"/>
      <b val="1"/>
      <color rgb="00EF4444"/>
      <sz val="10"/>
    </font>
    <font>
      <name val="Arial"/>
      <b val="1"/>
      <color rgb="000000FF"/>
      <sz val="10"/>
    </font>
    <font>
      <name val="Arial"/>
      <color rgb="00334155"/>
      <sz val="10"/>
    </font>
  </fonts>
  <fills count="13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8FAFC"/>
      </patternFill>
    </fill>
    <fill>
      <patternFill patternType="solid">
        <fgColor rgb="0022C55E"/>
      </patternFill>
    </fill>
    <fill>
      <patternFill patternType="solid">
        <fgColor rgb="00EF4444"/>
      </patternFill>
    </fill>
    <fill>
      <patternFill patternType="solid">
        <fgColor rgb="006366F1"/>
      </patternFill>
    </fill>
    <fill>
      <patternFill patternType="solid">
        <fgColor rgb="00F59E0B"/>
      </patternFill>
    </fill>
    <fill>
      <patternFill patternType="solid">
        <fgColor rgb="00FFFFFF"/>
      </patternFill>
    </fill>
    <fill>
      <patternFill patternType="solid">
        <fgColor rgb="00EEF2FF"/>
      </patternFill>
    </fill>
    <fill>
      <patternFill patternType="solid">
        <fgColor rgb="00EFF6FF"/>
      </patternFill>
    </fill>
    <fill>
      <patternFill patternType="solid">
        <fgColor rgb="00A855F7"/>
      </patternFill>
    </fill>
    <fill>
      <patternFill patternType="solid">
        <fgColor rgb="0014B8A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164" fontId="4" fillId="3" borderId="0" applyAlignment="1" pivotButton="0" quotePrefix="0" xfId="0">
      <alignment horizontal="center" vertical="center"/>
    </xf>
    <xf numFmtId="164" fontId="6" fillId="3" borderId="0" applyAlignment="1" pivotButton="0" quotePrefix="0" xfId="0">
      <alignment horizontal="center" vertical="center"/>
    </xf>
    <xf numFmtId="164" fontId="7" fillId="3" borderId="0" applyAlignment="1" pivotButton="0" quotePrefix="0" xfId="0">
      <alignment horizontal="center" vertical="center"/>
    </xf>
    <xf numFmtId="165" fontId="8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/>
    </xf>
    <xf numFmtId="164" fontId="11" fillId="3" borderId="1" pivotButton="0" quotePrefix="0" xfId="0"/>
    <xf numFmtId="165" fontId="11" fillId="3" borderId="1" pivotButton="0" quotePrefix="0" xfId="0"/>
    <xf numFmtId="164" fontId="12" fillId="3" borderId="1" pivotButton="0" quotePrefix="0" xfId="0"/>
    <xf numFmtId="0" fontId="11" fillId="3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left" vertical="center"/>
    </xf>
    <xf numFmtId="164" fontId="11" fillId="8" borderId="1" pivotButton="0" quotePrefix="0" xfId="0"/>
    <xf numFmtId="165" fontId="11" fillId="8" borderId="1" pivotButton="0" quotePrefix="0" xfId="0"/>
    <xf numFmtId="164" fontId="12" fillId="8" borderId="1" pivotButton="0" quotePrefix="0" xfId="0"/>
    <xf numFmtId="0" fontId="11" fillId="8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left" vertical="center"/>
    </xf>
    <xf numFmtId="0" fontId="15" fillId="8" borderId="1" applyAlignment="1" pivotButton="0" quotePrefix="0" xfId="0">
      <alignment horizontal="left" vertical="center"/>
    </xf>
    <xf numFmtId="0" fontId="16" fillId="3" borderId="1" applyAlignment="1" pivotButton="0" quotePrefix="0" xfId="0">
      <alignment horizontal="left" vertical="center"/>
    </xf>
    <xf numFmtId="0" fontId="17" fillId="8" borderId="1" applyAlignment="1" pivotButton="0" quotePrefix="0" xfId="0">
      <alignment horizontal="left" vertical="center"/>
    </xf>
    <xf numFmtId="0" fontId="18" fillId="3" borderId="1" applyAlignment="1" pivotButton="0" quotePrefix="0" xfId="0">
      <alignment horizontal="left" vertical="center"/>
    </xf>
    <xf numFmtId="0" fontId="19" fillId="8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center" wrapText="1"/>
    </xf>
    <xf numFmtId="164" fontId="9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0" fillId="2" borderId="0" applyAlignment="1" pivotButton="0" quotePrefix="0" xfId="0">
      <alignment horizontal="center" vertical="center"/>
    </xf>
    <xf numFmtId="0" fontId="21" fillId="3" borderId="0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164" fontId="11" fillId="8" borderId="1" applyAlignment="1" pivotButton="0" quotePrefix="0" xfId="0">
      <alignment horizontal="left" vertical="center"/>
    </xf>
    <xf numFmtId="0" fontId="22" fillId="8" borderId="1" applyAlignment="1" pivotButton="0" quotePrefix="0" xfId="0">
      <alignment horizontal="left" vertical="center"/>
    </xf>
    <xf numFmtId="0" fontId="11" fillId="3" borderId="1" applyAlignment="1" pivotButton="0" quotePrefix="0" xfId="0">
      <alignment horizontal="left" vertical="center"/>
    </xf>
    <xf numFmtId="164" fontId="11" fillId="3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left" vertical="center"/>
    </xf>
    <xf numFmtId="0" fontId="15" fillId="3" borderId="1" applyAlignment="1" pivotButton="0" quotePrefix="0" xfId="0">
      <alignment horizontal="left" vertical="center"/>
    </xf>
    <xf numFmtId="0" fontId="18" fillId="8" borderId="1" applyAlignment="1" pivotButton="0" quotePrefix="0" xfId="0">
      <alignment horizontal="left" vertical="center"/>
    </xf>
    <xf numFmtId="0" fontId="13" fillId="3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1" fillId="8" borderId="1" pivotButton="0" quotePrefix="0" xfId="0"/>
    <xf numFmtId="0" fontId="11" fillId="3" borderId="1" pivotButton="0" quotePrefix="0" xfId="0"/>
    <xf numFmtId="0" fontId="23" fillId="9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22" fillId="4" borderId="1" applyAlignment="1" pivotButton="0" quotePrefix="0" xfId="0">
      <alignment horizontal="left" vertical="center"/>
    </xf>
    <xf numFmtId="164" fontId="22" fillId="3" borderId="1" pivotButton="0" quotePrefix="0" xfId="0"/>
    <xf numFmtId="164" fontId="24" fillId="10" borderId="1" pivotButton="0" quotePrefix="0" xfId="0"/>
    <xf numFmtId="0" fontId="25" fillId="3" borderId="1" applyAlignment="1" pivotButton="0" quotePrefix="0" xfId="0">
      <alignment horizontal="left" vertical="center"/>
    </xf>
    <xf numFmtId="164" fontId="26" fillId="3" borderId="1" pivotButton="0" quotePrefix="0" xfId="0"/>
    <xf numFmtId="0" fontId="27" fillId="3" borderId="1" applyAlignment="1" pivotButton="0" quotePrefix="0" xfId="0">
      <alignment horizontal="left" vertical="center"/>
    </xf>
    <xf numFmtId="0" fontId="28" fillId="3" borderId="1" applyAlignment="1" pivotButton="0" quotePrefix="0" xfId="0">
      <alignment horizontal="left" vertical="center"/>
    </xf>
    <xf numFmtId="0" fontId="29" fillId="3" borderId="1" applyAlignment="1" pivotButton="0" quotePrefix="0" xfId="0">
      <alignment horizontal="left" vertical="center"/>
    </xf>
    <xf numFmtId="0" fontId="30" fillId="3" borderId="1" applyAlignment="1" pivotButton="0" quotePrefix="0" xfId="0">
      <alignment horizontal="left" vertical="center"/>
    </xf>
    <xf numFmtId="0" fontId="31" fillId="3" borderId="1" applyAlignment="1" pivotButton="0" quotePrefix="0" xfId="0">
      <alignment horizontal="left" vertical="center"/>
    </xf>
    <xf numFmtId="0" fontId="32" fillId="3" borderId="1" applyAlignment="1" pivotButton="0" quotePrefix="0" xfId="0">
      <alignment horizontal="left" vertical="center"/>
    </xf>
    <xf numFmtId="0" fontId="33" fillId="3" borderId="1" applyAlignment="1" pivotButton="0" quotePrefix="0" xfId="0">
      <alignment horizontal="left" vertical="center"/>
    </xf>
    <xf numFmtId="0" fontId="34" fillId="5" borderId="1" applyAlignment="1" pivotButton="0" quotePrefix="0" xfId="0">
      <alignment horizontal="left" vertical="center"/>
    </xf>
    <xf numFmtId="164" fontId="34" fillId="3" borderId="1" pivotButton="0" quotePrefix="0" xfId="0"/>
    <xf numFmtId="0" fontId="18" fillId="6" borderId="1" applyAlignment="1" pivotButton="0" quotePrefix="0" xfId="0">
      <alignment horizontal="left" vertical="center"/>
    </xf>
    <xf numFmtId="164" fontId="18" fillId="3" borderId="1" pivotButton="0" quotePrefix="0" xfId="0"/>
    <xf numFmtId="0" fontId="14" fillId="7" borderId="1" applyAlignment="1" pivotButton="0" quotePrefix="0" xfId="0">
      <alignment horizontal="left" vertical="center"/>
    </xf>
    <xf numFmtId="165" fontId="28" fillId="3" borderId="1" pivotButton="0" quotePrefix="0" xfId="0"/>
    <xf numFmtId="165" fontId="24" fillId="10" borderId="1" pivotButton="0" quotePrefix="0" xfId="0"/>
    <xf numFmtId="164" fontId="35" fillId="8" borderId="1" pivotButton="0" quotePrefix="0" xfId="0"/>
    <xf numFmtId="0" fontId="25" fillId="8" borderId="1" pivotButton="0" quotePrefix="0" xfId="0"/>
    <xf numFmtId="164" fontId="35" fillId="3" borderId="1" pivotButton="0" quotePrefix="0" xfId="0"/>
    <xf numFmtId="0" fontId="27" fillId="3" borderId="1" pivotButton="0" quotePrefix="0" xfId="0"/>
    <xf numFmtId="0" fontId="14" fillId="8" borderId="1" applyAlignment="1" pivotButton="0" quotePrefix="0" xfId="0">
      <alignment horizontal="left" vertical="center"/>
    </xf>
    <xf numFmtId="0" fontId="28" fillId="8" borderId="1" pivotButton="0" quotePrefix="0" xfId="0"/>
    <xf numFmtId="0" fontId="29" fillId="3" borderId="1" pivotButton="0" quotePrefix="0" xfId="0"/>
    <xf numFmtId="0" fontId="30" fillId="8" borderId="1" pivotButton="0" quotePrefix="0" xfId="0"/>
    <xf numFmtId="0" fontId="17" fillId="3" borderId="1" applyAlignment="1" pivotButton="0" quotePrefix="0" xfId="0">
      <alignment horizontal="left" vertical="center"/>
    </xf>
    <xf numFmtId="0" fontId="31" fillId="3" borderId="1" pivotButton="0" quotePrefix="0" xfId="0"/>
    <xf numFmtId="0" fontId="32" fillId="8" borderId="1" pivotButton="0" quotePrefix="0" xfId="0"/>
    <xf numFmtId="0" fontId="19" fillId="3" borderId="1" applyAlignment="1" pivotButton="0" quotePrefix="0" xfId="0">
      <alignment horizontal="left" vertical="center"/>
    </xf>
    <xf numFmtId="0" fontId="33" fillId="3" borderId="1" pivotButton="0" quotePrefix="0" xfId="0"/>
    <xf numFmtId="165" fontId="9" fillId="2" borderId="1" applyAlignment="1" pivotButton="0" quotePrefix="0" xfId="0">
      <alignment horizontal="center" vertical="center" wrapText="1"/>
    </xf>
    <xf numFmtId="0" fontId="20" fillId="2" borderId="0" applyAlignment="1" pivotButton="0" quotePrefix="0" xfId="0">
      <alignment horizontal="left" vertical="center"/>
    </xf>
    <xf numFmtId="0" fontId="36" fillId="3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9" fillId="7" borderId="0" applyAlignment="1" pivotButton="0" quotePrefix="0" xfId="0">
      <alignment horizontal="left" vertical="center"/>
    </xf>
    <xf numFmtId="0" fontId="9" fillId="11" borderId="0" applyAlignment="1" pivotButton="0" quotePrefix="0" xfId="0">
      <alignment horizontal="left" vertical="center"/>
    </xf>
    <xf numFmtId="0" fontId="9" fillId="1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Gastos por Categoría</a:t>
            </a:r>
          </a:p>
        </rich>
      </tx>
    </title>
    <plotArea>
      <pieChart>
        <varyColors val="1"/>
        <ser>
          <idx val="0"/>
          <order val="0"/>
          <tx>
            <strRef>
              <f>'📊 Dashboard'!C9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Dashboard'!$B$10:$B$17</f>
            </numRef>
          </cat>
          <val>
            <numRef>
              <f>'📊 Dashboard'!$C$10:$C$17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Evolución Mensual (€)</a:t>
            </a:r>
          </a:p>
        </rich>
      </tx>
    </title>
    <plotArea>
      <barChart>
        <barDir val="col"/>
        <grouping val="clustered"/>
        <ser>
          <idx val="0"/>
          <order val="0"/>
          <tx>
            <v>Ingresos</v>
          </tx>
          <spPr>
            <a:ln xmlns:a="http://schemas.openxmlformats.org/drawingml/2006/main">
              <a:prstDash val="solid"/>
            </a:ln>
          </spPr>
          <cat>
            <numRef>
              <f>'📅 Resumen Mensual'!$C$3:$N$3</f>
            </numRef>
          </cat>
          <val>
            <numRef>
              <f>'📅 Resumen Mensual'!$C$4</f>
            </numRef>
          </val>
        </ser>
        <ser>
          <idx val="1"/>
          <order val="1"/>
          <tx>
            <v>Gastos</v>
          </tx>
          <spPr>
            <a:ln xmlns:a="http://schemas.openxmlformats.org/drawingml/2006/main">
              <a:prstDash val="solid"/>
            </a:ln>
          </spPr>
          <cat>
            <numRef>
              <f>'📅 Resumen Mensual'!$C$3:$N$3</f>
            </numRef>
          </cat>
          <val>
            <numRef>
              <f>'📅 Resumen Mensual'!$D$4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'📅 Resumen Mensual'!$C$3:$N$3</f>
            </numRef>
          </cat>
          <val>
            <numRef>
              <f>'📅 Resumen Mensual'!$E$4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'📅 Resumen Mensual'!$C$3:$N$3</f>
            </numRef>
          </cat>
          <val>
            <numRef>
              <f>'📅 Resumen Mensual'!$F$4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'📅 Resumen Mensual'!$C$3:$N$3</f>
            </numRef>
          </cat>
          <val>
            <numRef>
              <f>'📅 Resumen Mensual'!$G$4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'📅 Resumen Mensual'!$C$3:$N$3</f>
            </numRef>
          </cat>
          <val>
            <numRef>
              <f>'📅 Resumen Mensual'!$H$4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'📅 Resumen Mensual'!$C$3:$N$3</f>
            </numRef>
          </cat>
          <val>
            <numRef>
              <f>'📅 Resumen Mensual'!$I$4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'📅 Resumen Mensual'!$C$3:$N$3</f>
            </numRef>
          </cat>
          <val>
            <numRef>
              <f>'📅 Resumen Mensual'!$J$4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'📅 Resumen Mensual'!$C$3:$N$3</f>
            </numRef>
          </cat>
          <val>
            <numRef>
              <f>'📅 Resumen Mensual'!$K$4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'📅 Resumen Mensual'!$C$3:$N$3</f>
            </numRef>
          </cat>
          <val>
            <numRef>
              <f>'📅 Resumen Mensual'!$L$4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cat>
            <numRef>
              <f>'📅 Resumen Mensual'!$C$3:$N$3</f>
            </numRef>
          </cat>
          <val>
            <numRef>
              <f>'📅 Resumen Mensual'!$M$4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cat>
            <numRef>
              <f>'📅 Resumen Mensual'!$C$3:$N$3</f>
            </numRef>
          </cat>
          <val>
            <numRef>
              <f>'📅 Resumen Mensual'!$N$4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cat>
            <numRef>
              <f>'📅 Resumen Mensual'!$C$3:$N$3</f>
            </numRef>
          </cat>
          <val>
            <numRef>
              <f>'📅 Resumen Mensual'!$C$13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cat>
            <numRef>
              <f>'📅 Resumen Mensual'!$C$3:$N$3</f>
            </numRef>
          </cat>
          <val>
            <numRef>
              <f>'📅 Resumen Mensual'!$D$13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cat>
            <numRef>
              <f>'📅 Resumen Mensual'!$C$3:$N$3</f>
            </numRef>
          </cat>
          <val>
            <numRef>
              <f>'📅 Resumen Mensual'!$E$13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cat>
            <numRef>
              <f>'📅 Resumen Mensual'!$C$3:$N$3</f>
            </numRef>
          </cat>
          <val>
            <numRef>
              <f>'📅 Resumen Mensual'!$F$13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cat>
            <numRef>
              <f>'📅 Resumen Mensual'!$C$3:$N$3</f>
            </numRef>
          </cat>
          <val>
            <numRef>
              <f>'📅 Resumen Mensual'!$G$13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cat>
            <numRef>
              <f>'📅 Resumen Mensual'!$C$3:$N$3</f>
            </numRef>
          </cat>
          <val>
            <numRef>
              <f>'📅 Resumen Mensual'!$H$13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cat>
            <numRef>
              <f>'📅 Resumen Mensual'!$C$3:$N$3</f>
            </numRef>
          </cat>
          <val>
            <numRef>
              <f>'📅 Resumen Mensual'!$I$13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cat>
            <numRef>
              <f>'📅 Resumen Mensual'!$C$3:$N$3</f>
            </numRef>
          </cat>
          <val>
            <numRef>
              <f>'📅 Resumen Mensual'!$J$13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cat>
            <numRef>
              <f>'📅 Resumen Mensual'!$C$3:$N$3</f>
            </numRef>
          </cat>
          <val>
            <numRef>
              <f>'📅 Resumen Mensual'!$K$13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cat>
            <numRef>
              <f>'📅 Resumen Mensual'!$C$3:$N$3</f>
            </numRef>
          </cat>
          <val>
            <numRef>
              <f>'📅 Resumen Mensual'!$L$13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cat>
            <numRef>
              <f>'📅 Resumen Mensual'!$C$3:$N$3</f>
            </numRef>
          </cat>
          <val>
            <numRef>
              <f>'📅 Resumen Mensual'!$M$13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cat>
            <numRef>
              <f>'📅 Resumen Mensual'!$C$3:$N$3</f>
            </numRef>
          </cat>
          <val>
            <numRef>
              <f>'📅 Resumen Mensual'!$N$13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8</row>
      <rowOff>0</rowOff>
    </from>
    <ext cx="43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19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6366F1"/>
    <outlinePr summaryBelow="1" summaryRight="1"/>
    <pageSetUpPr/>
  </sheetPr>
  <dimension ref="B1:M1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13" customWidth="1" min="3" max="3"/>
    <col width="9" customWidth="1" min="4" max="4"/>
    <col width="14" customWidth="1" min="5" max="5"/>
    <col width="10" customWidth="1" min="6" max="6"/>
  </cols>
  <sheetData>
    <row r="1" ht="60" customHeight="1">
      <c r="B1" s="1" t="inlineStr">
        <is>
          <t>💰 GESTOR DE FINANZAS PERSONALES</t>
        </is>
      </c>
    </row>
    <row r="2" ht="20" customHeight="1">
      <c r="B2" s="2" t="inlineStr">
        <is>
          <t>Actualizado: 23/05/2026  |  Año 2026</t>
        </is>
      </c>
    </row>
    <row r="4" ht="20" customHeight="1">
      <c r="B4" s="3" t="inlineStr">
        <is>
          <t>💼 INGRESOS MES</t>
        </is>
      </c>
      <c r="E4" s="4" t="inlineStr">
        <is>
          <t>💸 GASTOS MES</t>
        </is>
      </c>
      <c r="H4" s="5" t="inlineStr">
        <is>
          <t>💰 SALDO MES</t>
        </is>
      </c>
      <c r="K4" s="6" t="inlineStr">
        <is>
          <t>📈 AHORRO %</t>
        </is>
      </c>
    </row>
    <row r="5" ht="36" customHeight="1">
      <c r="B5" s="7">
        <f>SUMIF(Transacciones!E:E,"Ingresos",Transacciones!C:C)</f>
        <v/>
      </c>
      <c r="E5" s="8">
        <f>SUMIF(Transacciones!E:E,"&lt;&gt;Ingresos",Transacciones!C:C)</f>
        <v/>
      </c>
      <c r="H5" s="9">
        <f>B5-E5</f>
        <v/>
      </c>
      <c r="K5" s="10">
        <f>IF(B5&gt;0,H5/B5,0)</f>
        <v/>
      </c>
    </row>
    <row r="6" ht="28" customHeight="1">
      <c r="B6" s="11" t="inlineStr">
        <is>
          <t>Este mes</t>
        </is>
      </c>
      <c r="E6" s="11" t="inlineStr">
        <is>
          <t>Este mes</t>
        </is>
      </c>
      <c r="H6" s="11" t="inlineStr">
        <is>
          <t>Este mes</t>
        </is>
      </c>
      <c r="K6" s="11" t="inlineStr">
        <is>
          <t>Este mes</t>
        </is>
      </c>
    </row>
    <row r="8" ht="22" customHeight="1">
      <c r="B8" s="12" t="inlineStr">
        <is>
          <t>📊 GASTOS POR CATEGORÍA</t>
        </is>
      </c>
      <c r="I8" s="13" t="inlineStr">
        <is>
          <t>📅 EVOLUCIÓN MENSUAL</t>
        </is>
      </c>
    </row>
    <row r="9" ht="20" customHeight="1">
      <c r="B9" s="14" t="inlineStr">
        <is>
          <t>Categoría</t>
        </is>
      </c>
      <c r="C9" s="14" t="inlineStr">
        <is>
          <t>Gasto (€)</t>
        </is>
      </c>
      <c r="D9" s="14" t="inlineStr">
        <is>
          <t>% Total</t>
        </is>
      </c>
      <c r="E9" s="14" t="inlineStr">
        <is>
          <t>Presupuesto</t>
        </is>
      </c>
      <c r="F9" s="14" t="inlineStr">
        <is>
          <t>Estado</t>
        </is>
      </c>
    </row>
    <row r="10" ht="18" customHeight="1">
      <c r="B10" s="15" t="inlineStr">
        <is>
          <t>Comida</t>
        </is>
      </c>
      <c r="C10" s="16">
        <f>SUMIF(Transacciones!E:E,"Comida",Transacciones!C:C)</f>
        <v/>
      </c>
      <c r="D10" s="17">
        <f>IF(E5&gt;0,C10/E5,0)</f>
        <v/>
      </c>
      <c r="E10" s="18" t="n">
        <v>300</v>
      </c>
      <c r="F10" s="19">
        <f>IF(C10&lt;=E10,"✅ OK","⚠️ Excedido")</f>
        <v/>
      </c>
    </row>
    <row r="11" ht="18" customHeight="1">
      <c r="B11" s="20" t="inlineStr">
        <is>
          <t>Hogar</t>
        </is>
      </c>
      <c r="C11" s="21">
        <f>SUMIF(Transacciones!E:E,"Hogar",Transacciones!C:C)</f>
        <v/>
      </c>
      <c r="D11" s="22">
        <f>IF(E5&gt;0,C11/E5,0)</f>
        <v/>
      </c>
      <c r="E11" s="23" t="n">
        <v>700</v>
      </c>
      <c r="F11" s="24">
        <f>IF(C11&lt;=E11,"✅ OK","⚠️ Excedido")</f>
        <v/>
      </c>
    </row>
    <row r="12" ht="18" customHeight="1">
      <c r="B12" s="25" t="inlineStr">
        <is>
          <t>Transporte</t>
        </is>
      </c>
      <c r="C12" s="16">
        <f>SUMIF(Transacciones!E:E,"Transporte",Transacciones!C:C)</f>
        <v/>
      </c>
      <c r="D12" s="17">
        <f>IF(E5&gt;0,C12/E5,0)</f>
        <v/>
      </c>
      <c r="E12" s="18" t="n">
        <v>100</v>
      </c>
      <c r="F12" s="19">
        <f>IF(C12&lt;=E12,"✅ OK","⚠️ Excedido")</f>
        <v/>
      </c>
    </row>
    <row r="13" ht="18" customHeight="1">
      <c r="B13" s="26" t="inlineStr">
        <is>
          <t>Salud</t>
        </is>
      </c>
      <c r="C13" s="21">
        <f>SUMIF(Transacciones!E:E,"Salud",Transacciones!C:C)</f>
        <v/>
      </c>
      <c r="D13" s="22">
        <f>IF(E5&gt;0,C13/E5,0)</f>
        <v/>
      </c>
      <c r="E13" s="23" t="n">
        <v>80</v>
      </c>
      <c r="F13" s="24">
        <f>IF(C13&lt;=E13,"✅ OK","⚠️ Excedido")</f>
        <v/>
      </c>
    </row>
    <row r="14" ht="18" customHeight="1">
      <c r="B14" s="27" t="inlineStr">
        <is>
          <t>Ocio</t>
        </is>
      </c>
      <c r="C14" s="16">
        <f>SUMIF(Transacciones!E:E,"Ocio",Transacciones!C:C)</f>
        <v/>
      </c>
      <c r="D14" s="17">
        <f>IF(E5&gt;0,C14/E5,0)</f>
        <v/>
      </c>
      <c r="E14" s="18" t="n">
        <v>150</v>
      </c>
      <c r="F14" s="19">
        <f>IF(C14&lt;=E14,"✅ OK","⚠️ Excedido")</f>
        <v/>
      </c>
    </row>
    <row r="15" ht="18" customHeight="1">
      <c r="B15" s="28" t="inlineStr">
        <is>
          <t>Inversiones</t>
        </is>
      </c>
      <c r="C15" s="21">
        <f>SUMIF(Transacciones!E:E,"Inversiones",Transacciones!C:C)</f>
        <v/>
      </c>
      <c r="D15" s="22">
        <f>IF(E5&gt;0,C15/E5,0)</f>
        <v/>
      </c>
      <c r="E15" s="23" t="n">
        <v>200</v>
      </c>
      <c r="F15" s="24">
        <f>IF(C15&lt;=E15,"✅ OK","⚠️ Excedido")</f>
        <v/>
      </c>
    </row>
    <row r="16" ht="18" customHeight="1">
      <c r="B16" s="29" t="inlineStr">
        <is>
          <t>Trabajo</t>
        </is>
      </c>
      <c r="C16" s="16">
        <f>SUMIF(Transacciones!E:E,"Trabajo",Transacciones!C:C)</f>
        <v/>
      </c>
      <c r="D16" s="17">
        <f>IF(E5&gt;0,C16/E5,0)</f>
        <v/>
      </c>
      <c r="E16" s="18" t="n">
        <v>100</v>
      </c>
      <c r="F16" s="19">
        <f>IF(C16&lt;=E16,"✅ OK","⚠️ Excedido")</f>
        <v/>
      </c>
    </row>
    <row r="17" ht="18" customHeight="1">
      <c r="B17" s="30" t="inlineStr">
        <is>
          <t>Otros</t>
        </is>
      </c>
      <c r="C17" s="21">
        <f>SUMIF(Transacciones!E:E,"Otros",Transacciones!C:C)</f>
        <v/>
      </c>
      <c r="D17" s="22">
        <f>IF(E5&gt;0,C17/E5,0)</f>
        <v/>
      </c>
      <c r="E17" s="23" t="n">
        <v>100</v>
      </c>
      <c r="F17" s="24">
        <f>IF(C17&lt;=E17,"✅ OK","⚠️ Excedido")</f>
        <v/>
      </c>
    </row>
    <row r="18" ht="20" customHeight="1">
      <c r="B18" s="31" t="inlineStr">
        <is>
          <t>TOTAL</t>
        </is>
      </c>
      <c r="C18" s="32">
        <f>SUM(C10:C17)</f>
        <v/>
      </c>
      <c r="D18" s="33" t="n"/>
      <c r="E18" s="33" t="n"/>
      <c r="F18" s="33" t="n"/>
    </row>
  </sheetData>
  <mergeCells count="17">
    <mergeCell ref="B2:M2"/>
    <mergeCell ref="B5:D5"/>
    <mergeCell ref="B18"/>
    <mergeCell ref="E5:G5"/>
    <mergeCell ref="K4:M4"/>
    <mergeCell ref="H5:J5"/>
    <mergeCell ref="K5:M5"/>
    <mergeCell ref="B4:D4"/>
    <mergeCell ref="H4:J4"/>
    <mergeCell ref="K6:M6"/>
    <mergeCell ref="B8:G8"/>
    <mergeCell ref="E4:G4"/>
    <mergeCell ref="B1:M1"/>
    <mergeCell ref="I8:M8"/>
    <mergeCell ref="B6:D6"/>
    <mergeCell ref="E6:G6"/>
    <mergeCell ref="H6:J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2C55E"/>
    <outlinePr summaryBelow="1" summaryRight="1"/>
    <pageSetUpPr/>
  </sheetPr>
  <dimension ref="B1:H6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16" customWidth="1" min="5" max="5"/>
    <col width="12" customWidth="1" min="6" max="6"/>
    <col width="10" customWidth="1" min="7" max="7"/>
    <col width="22" customWidth="1" min="8" max="8"/>
  </cols>
  <sheetData>
    <row r="1" ht="40" customHeight="1">
      <c r="B1" s="34" t="inlineStr">
        <is>
          <t>📝 REGISTRO DE TRANSACCIONES</t>
        </is>
      </c>
    </row>
    <row r="2" ht="18" customHeight="1">
      <c r="B2" s="35" t="inlineStr">
        <is>
          <t>Introduce tus ingresos y gastos aquí. La app web los añade automáticamente.</t>
        </is>
      </c>
    </row>
    <row r="4" ht="22" customHeight="1">
      <c r="B4" s="14" t="inlineStr">
        <is>
          <t>Descripción</t>
        </is>
      </c>
      <c r="C4" s="14" t="inlineStr">
        <is>
          <t>Monto (€)</t>
        </is>
      </c>
      <c r="D4" s="14" t="inlineStr">
        <is>
          <t>Fecha</t>
        </is>
      </c>
      <c r="E4" s="14" t="inlineStr">
        <is>
          <t>Categoría</t>
        </is>
      </c>
      <c r="F4" s="14" t="inlineStr">
        <is>
          <t>Tipo</t>
        </is>
      </c>
      <c r="G4" s="14" t="inlineStr">
        <is>
          <t>Mes</t>
        </is>
      </c>
      <c r="H4" s="14" t="inlineStr">
        <is>
          <t>Notas</t>
        </is>
      </c>
    </row>
    <row r="5" ht="18" customHeight="1">
      <c r="B5" s="36" t="inlineStr">
        <is>
          <t>Salario enero</t>
        </is>
      </c>
      <c r="C5" s="37" t="n">
        <v>1500</v>
      </c>
      <c r="D5" s="36" t="inlineStr">
        <is>
          <t>01/01/2026</t>
        </is>
      </c>
      <c r="E5" s="38" t="inlineStr">
        <is>
          <t>Ingresos</t>
        </is>
      </c>
      <c r="F5" s="36" t="inlineStr">
        <is>
          <t>Ingreso</t>
        </is>
      </c>
      <c r="G5" s="36" t="inlineStr">
        <is>
          <t>Enero</t>
        </is>
      </c>
      <c r="H5" s="36" t="inlineStr">
        <is>
          <t>Nómina mensual</t>
        </is>
      </c>
    </row>
    <row r="6" ht="18" customHeight="1">
      <c r="B6" s="39" t="inlineStr">
        <is>
          <t>Mercadona</t>
        </is>
      </c>
      <c r="C6" s="40" t="n">
        <v>85</v>
      </c>
      <c r="D6" s="39" t="inlineStr">
        <is>
          <t>02/01/2026</t>
        </is>
      </c>
      <c r="E6" s="15" t="inlineStr">
        <is>
          <t>Comida</t>
        </is>
      </c>
      <c r="F6" s="39" t="inlineStr">
        <is>
          <t>Gasto</t>
        </is>
      </c>
      <c r="G6" s="39" t="inlineStr">
        <is>
          <t>Enero</t>
        </is>
      </c>
      <c r="H6" s="39" t="inlineStr">
        <is>
          <t>Compra semanal</t>
        </is>
      </c>
    </row>
    <row r="7" ht="18" customHeight="1">
      <c r="B7" s="36" t="inlineStr">
        <is>
          <t>Alquiler piso</t>
        </is>
      </c>
      <c r="C7" s="37" t="n">
        <v>650</v>
      </c>
      <c r="D7" s="36" t="inlineStr">
        <is>
          <t>03/01/2026</t>
        </is>
      </c>
      <c r="E7" s="20" t="inlineStr">
        <is>
          <t>Hogar</t>
        </is>
      </c>
      <c r="F7" s="36" t="inlineStr">
        <is>
          <t>Gasto</t>
        </is>
      </c>
      <c r="G7" s="36" t="inlineStr">
        <is>
          <t>Enero</t>
        </is>
      </c>
      <c r="H7" s="36" t="inlineStr">
        <is>
          <t>Mensualidad</t>
        </is>
      </c>
    </row>
    <row r="8" ht="18" customHeight="1">
      <c r="B8" s="39" t="inlineStr">
        <is>
          <t>Gasolina</t>
        </is>
      </c>
      <c r="C8" s="40" t="n">
        <v>48</v>
      </c>
      <c r="D8" s="39" t="inlineStr">
        <is>
          <t>05/01/2026</t>
        </is>
      </c>
      <c r="E8" s="25" t="inlineStr">
        <is>
          <t>Transporte</t>
        </is>
      </c>
      <c r="F8" s="39" t="inlineStr">
        <is>
          <t>Gasto</t>
        </is>
      </c>
      <c r="G8" s="39" t="inlineStr">
        <is>
          <t>Enero</t>
        </is>
      </c>
      <c r="H8" s="39" t="inlineStr">
        <is>
          <t>Repostaje</t>
        </is>
      </c>
    </row>
    <row r="9" ht="18" customHeight="1">
      <c r="B9" s="36" t="inlineStr">
        <is>
          <t>Netflix</t>
        </is>
      </c>
      <c r="C9" s="37" t="n">
        <v>12.99</v>
      </c>
      <c r="D9" s="36" t="inlineStr">
        <is>
          <t>06/01/2026</t>
        </is>
      </c>
      <c r="E9" s="41" t="inlineStr">
        <is>
          <t>Ocio</t>
        </is>
      </c>
      <c r="F9" s="36" t="inlineStr">
        <is>
          <t>Gasto</t>
        </is>
      </c>
      <c r="G9" s="36" t="inlineStr">
        <is>
          <t>Enero</t>
        </is>
      </c>
      <c r="H9" s="36" t="inlineStr">
        <is>
          <t>Suscripción</t>
        </is>
      </c>
    </row>
    <row r="10" ht="18" customHeight="1">
      <c r="B10" s="39" t="inlineStr">
        <is>
          <t>Farmacia</t>
        </is>
      </c>
      <c r="C10" s="40" t="n">
        <v>22</v>
      </c>
      <c r="D10" s="39" t="inlineStr">
        <is>
          <t>08/01/2026</t>
        </is>
      </c>
      <c r="E10" s="42" t="inlineStr">
        <is>
          <t>Salud</t>
        </is>
      </c>
      <c r="F10" s="39" t="inlineStr">
        <is>
          <t>Gasto</t>
        </is>
      </c>
      <c r="G10" s="39" t="inlineStr">
        <is>
          <t>Enero</t>
        </is>
      </c>
      <c r="H10" s="39" t="inlineStr">
        <is>
          <t>Medicamentos</t>
        </is>
      </c>
    </row>
    <row r="11" ht="18" customHeight="1">
      <c r="B11" s="36" t="inlineStr">
        <is>
          <t>Luz + Agua</t>
        </is>
      </c>
      <c r="C11" s="37" t="n">
        <v>90</v>
      </c>
      <c r="D11" s="36" t="inlineStr">
        <is>
          <t>10/01/2026</t>
        </is>
      </c>
      <c r="E11" s="20" t="inlineStr">
        <is>
          <t>Hogar</t>
        </is>
      </c>
      <c r="F11" s="36" t="inlineStr">
        <is>
          <t>Gasto</t>
        </is>
      </c>
      <c r="G11" s="36" t="inlineStr">
        <is>
          <t>Enero</t>
        </is>
      </c>
      <c r="H11" s="36" t="inlineStr">
        <is>
          <t>Facturas</t>
        </is>
      </c>
    </row>
    <row r="12" ht="18" customHeight="1">
      <c r="B12" s="39" t="inlineStr">
        <is>
          <t>Gym</t>
        </is>
      </c>
      <c r="C12" s="40" t="n">
        <v>35</v>
      </c>
      <c r="D12" s="39" t="inlineStr">
        <is>
          <t>10/01/2026</t>
        </is>
      </c>
      <c r="E12" s="42" t="inlineStr">
        <is>
          <t>Salud</t>
        </is>
      </c>
      <c r="F12" s="39" t="inlineStr">
        <is>
          <t>Gasto</t>
        </is>
      </c>
      <c r="G12" s="39" t="inlineStr">
        <is>
          <t>Enero</t>
        </is>
      </c>
      <c r="H12" s="39" t="inlineStr">
        <is>
          <t>Cuota mensual</t>
        </is>
      </c>
    </row>
    <row r="13" ht="18" customHeight="1">
      <c r="B13" s="36" t="inlineStr">
        <is>
          <t>Bolsa - ETF</t>
        </is>
      </c>
      <c r="C13" s="37" t="n">
        <v>200</v>
      </c>
      <c r="D13" s="36" t="inlineStr">
        <is>
          <t>15/01/2026</t>
        </is>
      </c>
      <c r="E13" s="28" t="inlineStr">
        <is>
          <t>Inversiones</t>
        </is>
      </c>
      <c r="F13" s="36" t="inlineStr">
        <is>
          <t>Gasto</t>
        </is>
      </c>
      <c r="G13" s="36" t="inlineStr">
        <is>
          <t>Enero</t>
        </is>
      </c>
      <c r="H13" s="36" t="inlineStr">
        <is>
          <t>Aportación indexada</t>
        </is>
      </c>
    </row>
    <row r="14" ht="18" customHeight="1">
      <c r="B14" s="39" t="inlineStr">
        <is>
          <t>Café bar</t>
        </is>
      </c>
      <c r="C14" s="40" t="n">
        <v>3.5</v>
      </c>
      <c r="D14" s="39" t="inlineStr">
        <is>
          <t>16/01/2026</t>
        </is>
      </c>
      <c r="E14" s="15" t="inlineStr">
        <is>
          <t>Comida</t>
        </is>
      </c>
      <c r="F14" s="39" t="inlineStr">
        <is>
          <t>Gasto</t>
        </is>
      </c>
      <c r="G14" s="39" t="inlineStr">
        <is>
          <t>Enero</t>
        </is>
      </c>
      <c r="H14" s="39" t="inlineStr">
        <is>
          <t>Desayuno</t>
        </is>
      </c>
    </row>
    <row r="15" ht="18" customHeight="1">
      <c r="B15" s="36" t="inlineStr">
        <is>
          <t>Curso online</t>
        </is>
      </c>
      <c r="C15" s="37" t="n">
        <v>49</v>
      </c>
      <c r="D15" s="36" t="inlineStr">
        <is>
          <t>20/01/2026</t>
        </is>
      </c>
      <c r="E15" s="43" t="inlineStr">
        <is>
          <t>Trabajo</t>
        </is>
      </c>
      <c r="F15" s="36" t="inlineStr">
        <is>
          <t>Gasto</t>
        </is>
      </c>
      <c r="G15" s="36" t="inlineStr">
        <is>
          <t>Enero</t>
        </is>
      </c>
      <c r="H15" s="36" t="inlineStr">
        <is>
          <t>Formación</t>
        </is>
      </c>
    </row>
    <row r="16" ht="18" customHeight="1">
      <c r="B16" s="39" t="inlineStr">
        <is>
          <t>Wifi fibra</t>
        </is>
      </c>
      <c r="C16" s="40" t="n">
        <v>35</v>
      </c>
      <c r="D16" s="39" t="inlineStr">
        <is>
          <t>22/01/2026</t>
        </is>
      </c>
      <c r="E16" s="44" t="inlineStr">
        <is>
          <t>Hogar</t>
        </is>
      </c>
      <c r="F16" s="39" t="inlineStr">
        <is>
          <t>Gasto</t>
        </is>
      </c>
      <c r="G16" s="39" t="inlineStr">
        <is>
          <t>Enero</t>
        </is>
      </c>
      <c r="H16" s="39" t="inlineStr">
        <is>
          <t>Factura Movistar</t>
        </is>
      </c>
    </row>
    <row r="17" ht="18" customHeight="1">
      <c r="B17" s="36" t="inlineStr">
        <is>
          <t>Pan panadería</t>
        </is>
      </c>
      <c r="C17" s="37" t="n">
        <v>1</v>
      </c>
      <c r="D17" s="36" t="inlineStr">
        <is>
          <t>23/01/2026</t>
        </is>
      </c>
      <c r="E17" s="45" t="inlineStr">
        <is>
          <t>Comida</t>
        </is>
      </c>
      <c r="F17" s="36" t="inlineStr">
        <is>
          <t>Gasto</t>
        </is>
      </c>
      <c r="G17" s="36" t="inlineStr">
        <is>
          <t>Enero</t>
        </is>
      </c>
      <c r="H17" s="36" t="inlineStr">
        <is>
          <t>Pan diario</t>
        </is>
      </c>
    </row>
    <row r="18" ht="18" customHeight="1">
      <c r="B18" s="39" t="inlineStr">
        <is>
          <t>Cena restaurante</t>
        </is>
      </c>
      <c r="C18" s="40" t="n">
        <v>28</v>
      </c>
      <c r="D18" s="39" t="inlineStr">
        <is>
          <t>25/01/2026</t>
        </is>
      </c>
      <c r="E18" s="15" t="inlineStr">
        <is>
          <t>Comida</t>
        </is>
      </c>
      <c r="F18" s="39" t="inlineStr">
        <is>
          <t>Gasto</t>
        </is>
      </c>
      <c r="G18" s="39" t="inlineStr">
        <is>
          <t>Enero</t>
        </is>
      </c>
      <c r="H18" s="39" t="inlineStr">
        <is>
          <t>Cena con amigos</t>
        </is>
      </c>
    </row>
    <row r="19" ht="18" customHeight="1">
      <c r="B19" s="46" t="n"/>
      <c r="C19" s="46" t="n"/>
      <c r="D19" s="46" t="n"/>
      <c r="E19" s="46" t="n"/>
      <c r="F19" s="46" t="n"/>
      <c r="G19" s="46" t="n"/>
      <c r="H19" s="46" t="n"/>
    </row>
    <row r="20" ht="18" customHeight="1">
      <c r="B20" s="47" t="n"/>
      <c r="C20" s="47" t="n"/>
      <c r="D20" s="47" t="n"/>
      <c r="E20" s="47" t="n"/>
      <c r="F20" s="47" t="n"/>
      <c r="G20" s="47" t="n"/>
      <c r="H20" s="47" t="n"/>
    </row>
    <row r="21" ht="18" customHeight="1">
      <c r="B21" s="46" t="n"/>
      <c r="C21" s="46" t="n"/>
      <c r="D21" s="46" t="n"/>
      <c r="E21" s="46" t="n"/>
      <c r="F21" s="46" t="n"/>
      <c r="G21" s="46" t="n"/>
      <c r="H21" s="46" t="n"/>
    </row>
    <row r="22" ht="18" customHeight="1">
      <c r="B22" s="47" t="n"/>
      <c r="C22" s="47" t="n"/>
      <c r="D22" s="47" t="n"/>
      <c r="E22" s="47" t="n"/>
      <c r="F22" s="47" t="n"/>
      <c r="G22" s="47" t="n"/>
      <c r="H22" s="47" t="n"/>
    </row>
    <row r="23" ht="18" customHeight="1">
      <c r="B23" s="46" t="n"/>
      <c r="C23" s="46" t="n"/>
      <c r="D23" s="46" t="n"/>
      <c r="E23" s="46" t="n"/>
      <c r="F23" s="46" t="n"/>
      <c r="G23" s="46" t="n"/>
      <c r="H23" s="46" t="n"/>
    </row>
    <row r="24" ht="18" customHeight="1">
      <c r="B24" s="47" t="n"/>
      <c r="C24" s="47" t="n"/>
      <c r="D24" s="47" t="n"/>
      <c r="E24" s="47" t="n"/>
      <c r="F24" s="47" t="n"/>
      <c r="G24" s="47" t="n"/>
      <c r="H24" s="47" t="n"/>
    </row>
    <row r="25" ht="18" customHeight="1">
      <c r="B25" s="46" t="n"/>
      <c r="C25" s="46" t="n"/>
      <c r="D25" s="46" t="n"/>
      <c r="E25" s="46" t="n"/>
      <c r="F25" s="46" t="n"/>
      <c r="G25" s="46" t="n"/>
      <c r="H25" s="46" t="n"/>
    </row>
    <row r="26" ht="18" customHeight="1">
      <c r="B26" s="47" t="n"/>
      <c r="C26" s="47" t="n"/>
      <c r="D26" s="47" t="n"/>
      <c r="E26" s="47" t="n"/>
      <c r="F26" s="47" t="n"/>
      <c r="G26" s="47" t="n"/>
      <c r="H26" s="47" t="n"/>
    </row>
    <row r="27" ht="18" customHeight="1">
      <c r="B27" s="46" t="n"/>
      <c r="C27" s="46" t="n"/>
      <c r="D27" s="46" t="n"/>
      <c r="E27" s="46" t="n"/>
      <c r="F27" s="46" t="n"/>
      <c r="G27" s="46" t="n"/>
      <c r="H27" s="46" t="n"/>
    </row>
    <row r="28" ht="18" customHeight="1">
      <c r="B28" s="47" t="n"/>
      <c r="C28" s="47" t="n"/>
      <c r="D28" s="47" t="n"/>
      <c r="E28" s="47" t="n"/>
      <c r="F28" s="47" t="n"/>
      <c r="G28" s="47" t="n"/>
      <c r="H28" s="47" t="n"/>
    </row>
    <row r="29" ht="18" customHeight="1">
      <c r="B29" s="46" t="n"/>
      <c r="C29" s="46" t="n"/>
      <c r="D29" s="46" t="n"/>
      <c r="E29" s="46" t="n"/>
      <c r="F29" s="46" t="n"/>
      <c r="G29" s="46" t="n"/>
      <c r="H29" s="46" t="n"/>
    </row>
    <row r="30" ht="18" customHeight="1">
      <c r="B30" s="47" t="n"/>
      <c r="C30" s="47" t="n"/>
      <c r="D30" s="47" t="n"/>
      <c r="E30" s="47" t="n"/>
      <c r="F30" s="47" t="n"/>
      <c r="G30" s="47" t="n"/>
      <c r="H30" s="47" t="n"/>
    </row>
    <row r="31" ht="18" customHeight="1">
      <c r="B31" s="46" t="n"/>
      <c r="C31" s="46" t="n"/>
      <c r="D31" s="46" t="n"/>
      <c r="E31" s="46" t="n"/>
      <c r="F31" s="46" t="n"/>
      <c r="G31" s="46" t="n"/>
      <c r="H31" s="46" t="n"/>
    </row>
    <row r="32" ht="18" customHeight="1">
      <c r="B32" s="47" t="n"/>
      <c r="C32" s="47" t="n"/>
      <c r="D32" s="47" t="n"/>
      <c r="E32" s="47" t="n"/>
      <c r="F32" s="47" t="n"/>
      <c r="G32" s="47" t="n"/>
      <c r="H32" s="47" t="n"/>
    </row>
    <row r="33" ht="18" customHeight="1">
      <c r="B33" s="46" t="n"/>
      <c r="C33" s="46" t="n"/>
      <c r="D33" s="46" t="n"/>
      <c r="E33" s="46" t="n"/>
      <c r="F33" s="46" t="n"/>
      <c r="G33" s="46" t="n"/>
      <c r="H33" s="46" t="n"/>
    </row>
    <row r="34" ht="18" customHeight="1">
      <c r="B34" s="47" t="n"/>
      <c r="C34" s="47" t="n"/>
      <c r="D34" s="47" t="n"/>
      <c r="E34" s="47" t="n"/>
      <c r="F34" s="47" t="n"/>
      <c r="G34" s="47" t="n"/>
      <c r="H34" s="47" t="n"/>
    </row>
    <row r="35" ht="18" customHeight="1">
      <c r="B35" s="46" t="n"/>
      <c r="C35" s="46" t="n"/>
      <c r="D35" s="46" t="n"/>
      <c r="E35" s="46" t="n"/>
      <c r="F35" s="46" t="n"/>
      <c r="G35" s="46" t="n"/>
      <c r="H35" s="46" t="n"/>
    </row>
    <row r="36" ht="18" customHeight="1">
      <c r="B36" s="47" t="n"/>
      <c r="C36" s="47" t="n"/>
      <c r="D36" s="47" t="n"/>
      <c r="E36" s="47" t="n"/>
      <c r="F36" s="47" t="n"/>
      <c r="G36" s="47" t="n"/>
      <c r="H36" s="47" t="n"/>
    </row>
    <row r="37" ht="18" customHeight="1">
      <c r="B37" s="46" t="n"/>
      <c r="C37" s="46" t="n"/>
      <c r="D37" s="46" t="n"/>
      <c r="E37" s="46" t="n"/>
      <c r="F37" s="46" t="n"/>
      <c r="G37" s="46" t="n"/>
      <c r="H37" s="46" t="n"/>
    </row>
    <row r="38" ht="18" customHeight="1">
      <c r="B38" s="47" t="n"/>
      <c r="C38" s="47" t="n"/>
      <c r="D38" s="47" t="n"/>
      <c r="E38" s="47" t="n"/>
      <c r="F38" s="47" t="n"/>
      <c r="G38" s="47" t="n"/>
      <c r="H38" s="47" t="n"/>
    </row>
    <row r="39" ht="18" customHeight="1">
      <c r="B39" s="46" t="n"/>
      <c r="C39" s="46" t="n"/>
      <c r="D39" s="46" t="n"/>
      <c r="E39" s="46" t="n"/>
      <c r="F39" s="46" t="n"/>
      <c r="G39" s="46" t="n"/>
      <c r="H39" s="46" t="n"/>
    </row>
    <row r="40" ht="18" customHeight="1">
      <c r="B40" s="47" t="n"/>
      <c r="C40" s="47" t="n"/>
      <c r="D40" s="47" t="n"/>
      <c r="E40" s="47" t="n"/>
      <c r="F40" s="47" t="n"/>
      <c r="G40" s="47" t="n"/>
      <c r="H40" s="47" t="n"/>
    </row>
    <row r="41" ht="18" customHeight="1">
      <c r="B41" s="46" t="n"/>
      <c r="C41" s="46" t="n"/>
      <c r="D41" s="46" t="n"/>
      <c r="E41" s="46" t="n"/>
      <c r="F41" s="46" t="n"/>
      <c r="G41" s="46" t="n"/>
      <c r="H41" s="46" t="n"/>
    </row>
    <row r="42" ht="18" customHeight="1">
      <c r="B42" s="47" t="n"/>
      <c r="C42" s="47" t="n"/>
      <c r="D42" s="47" t="n"/>
      <c r="E42" s="47" t="n"/>
      <c r="F42" s="47" t="n"/>
      <c r="G42" s="47" t="n"/>
      <c r="H42" s="47" t="n"/>
    </row>
    <row r="43" ht="18" customHeight="1">
      <c r="B43" s="46" t="n"/>
      <c r="C43" s="46" t="n"/>
      <c r="D43" s="46" t="n"/>
      <c r="E43" s="46" t="n"/>
      <c r="F43" s="46" t="n"/>
      <c r="G43" s="46" t="n"/>
      <c r="H43" s="46" t="n"/>
    </row>
    <row r="44" ht="18" customHeight="1">
      <c r="B44" s="47" t="n"/>
      <c r="C44" s="47" t="n"/>
      <c r="D44" s="47" t="n"/>
      <c r="E44" s="47" t="n"/>
      <c r="F44" s="47" t="n"/>
      <c r="G44" s="47" t="n"/>
      <c r="H44" s="47" t="n"/>
    </row>
    <row r="45" ht="18" customHeight="1">
      <c r="B45" s="46" t="n"/>
      <c r="C45" s="46" t="n"/>
      <c r="D45" s="46" t="n"/>
      <c r="E45" s="46" t="n"/>
      <c r="F45" s="46" t="n"/>
      <c r="G45" s="46" t="n"/>
      <c r="H45" s="46" t="n"/>
    </row>
    <row r="46" ht="18" customHeight="1">
      <c r="B46" s="47" t="n"/>
      <c r="C46" s="47" t="n"/>
      <c r="D46" s="47" t="n"/>
      <c r="E46" s="47" t="n"/>
      <c r="F46" s="47" t="n"/>
      <c r="G46" s="47" t="n"/>
      <c r="H46" s="47" t="n"/>
    </row>
    <row r="47" ht="18" customHeight="1">
      <c r="B47" s="46" t="n"/>
      <c r="C47" s="46" t="n"/>
      <c r="D47" s="46" t="n"/>
      <c r="E47" s="46" t="n"/>
      <c r="F47" s="46" t="n"/>
      <c r="G47" s="46" t="n"/>
      <c r="H47" s="46" t="n"/>
    </row>
    <row r="48" ht="18" customHeight="1">
      <c r="B48" s="47" t="n"/>
      <c r="C48" s="47" t="n"/>
      <c r="D48" s="47" t="n"/>
      <c r="E48" s="47" t="n"/>
      <c r="F48" s="47" t="n"/>
      <c r="G48" s="47" t="n"/>
      <c r="H48" s="47" t="n"/>
    </row>
    <row r="49" ht="18" customHeight="1">
      <c r="B49" s="46" t="n"/>
      <c r="C49" s="46" t="n"/>
      <c r="D49" s="46" t="n"/>
      <c r="E49" s="46" t="n"/>
      <c r="F49" s="46" t="n"/>
      <c r="G49" s="46" t="n"/>
      <c r="H49" s="46" t="n"/>
    </row>
    <row r="50" ht="18" customHeight="1">
      <c r="B50" s="47" t="n"/>
      <c r="C50" s="47" t="n"/>
      <c r="D50" s="47" t="n"/>
      <c r="E50" s="47" t="n"/>
      <c r="F50" s="47" t="n"/>
      <c r="G50" s="47" t="n"/>
      <c r="H50" s="47" t="n"/>
    </row>
    <row r="51" ht="18" customHeight="1">
      <c r="B51" s="46" t="n"/>
      <c r="C51" s="46" t="n"/>
      <c r="D51" s="46" t="n"/>
      <c r="E51" s="46" t="n"/>
      <c r="F51" s="46" t="n"/>
      <c r="G51" s="46" t="n"/>
      <c r="H51" s="46" t="n"/>
    </row>
    <row r="52" ht="18" customHeight="1">
      <c r="B52" s="47" t="n"/>
      <c r="C52" s="47" t="n"/>
      <c r="D52" s="47" t="n"/>
      <c r="E52" s="47" t="n"/>
      <c r="F52" s="47" t="n"/>
      <c r="G52" s="47" t="n"/>
      <c r="H52" s="47" t="n"/>
    </row>
    <row r="53" ht="18" customHeight="1">
      <c r="B53" s="46" t="n"/>
      <c r="C53" s="46" t="n"/>
      <c r="D53" s="46" t="n"/>
      <c r="E53" s="46" t="n"/>
      <c r="F53" s="46" t="n"/>
      <c r="G53" s="46" t="n"/>
      <c r="H53" s="46" t="n"/>
    </row>
    <row r="54" ht="18" customHeight="1">
      <c r="B54" s="47" t="n"/>
      <c r="C54" s="47" t="n"/>
      <c r="D54" s="47" t="n"/>
      <c r="E54" s="47" t="n"/>
      <c r="F54" s="47" t="n"/>
      <c r="G54" s="47" t="n"/>
      <c r="H54" s="47" t="n"/>
    </row>
    <row r="55" ht="18" customHeight="1">
      <c r="B55" s="46" t="n"/>
      <c r="C55" s="46" t="n"/>
      <c r="D55" s="46" t="n"/>
      <c r="E55" s="46" t="n"/>
      <c r="F55" s="46" t="n"/>
      <c r="G55" s="46" t="n"/>
      <c r="H55" s="46" t="n"/>
    </row>
    <row r="56" ht="18" customHeight="1">
      <c r="B56" s="47" t="n"/>
      <c r="C56" s="47" t="n"/>
      <c r="D56" s="47" t="n"/>
      <c r="E56" s="47" t="n"/>
      <c r="F56" s="47" t="n"/>
      <c r="G56" s="47" t="n"/>
      <c r="H56" s="47" t="n"/>
    </row>
    <row r="57" ht="18" customHeight="1">
      <c r="B57" s="46" t="n"/>
      <c r="C57" s="46" t="n"/>
      <c r="D57" s="46" t="n"/>
      <c r="E57" s="46" t="n"/>
      <c r="F57" s="46" t="n"/>
      <c r="G57" s="46" t="n"/>
      <c r="H57" s="46" t="n"/>
    </row>
    <row r="58" ht="18" customHeight="1">
      <c r="B58" s="47" t="n"/>
      <c r="C58" s="47" t="n"/>
      <c r="D58" s="47" t="n"/>
      <c r="E58" s="47" t="n"/>
      <c r="F58" s="47" t="n"/>
      <c r="G58" s="47" t="n"/>
      <c r="H58" s="47" t="n"/>
    </row>
    <row r="59" ht="18" customHeight="1">
      <c r="B59" s="46" t="n"/>
      <c r="C59" s="46" t="n"/>
      <c r="D59" s="46" t="n"/>
      <c r="E59" s="46" t="n"/>
      <c r="F59" s="46" t="n"/>
      <c r="G59" s="46" t="n"/>
      <c r="H59" s="46" t="n"/>
    </row>
    <row r="60" ht="18" customHeight="1">
      <c r="B60" s="47" t="n"/>
      <c r="C60" s="47" t="n"/>
      <c r="D60" s="47" t="n"/>
      <c r="E60" s="47" t="n"/>
      <c r="F60" s="47" t="n"/>
      <c r="G60" s="47" t="n"/>
      <c r="H60" s="47" t="n"/>
    </row>
    <row r="61" ht="18" customHeight="1">
      <c r="B61" s="46" t="n"/>
      <c r="C61" s="46" t="n"/>
      <c r="D61" s="46" t="n"/>
      <c r="E61" s="46" t="n"/>
      <c r="F61" s="46" t="n"/>
      <c r="G61" s="46" t="n"/>
      <c r="H61" s="46" t="n"/>
    </row>
    <row r="62" ht="18" customHeight="1">
      <c r="B62" s="47" t="n"/>
      <c r="C62" s="47" t="n"/>
      <c r="D62" s="47" t="n"/>
      <c r="E62" s="47" t="n"/>
      <c r="F62" s="47" t="n"/>
      <c r="G62" s="47" t="n"/>
      <c r="H62" s="47" t="n"/>
    </row>
    <row r="63" ht="18" customHeight="1">
      <c r="B63" s="46" t="n"/>
      <c r="C63" s="46" t="n"/>
      <c r="D63" s="46" t="n"/>
      <c r="E63" s="46" t="n"/>
      <c r="F63" s="46" t="n"/>
      <c r="G63" s="46" t="n"/>
      <c r="H63" s="46" t="n"/>
    </row>
    <row r="64" ht="18" customHeight="1">
      <c r="B64" s="47" t="n"/>
      <c r="C64" s="47" t="n"/>
      <c r="D64" s="47" t="n"/>
      <c r="E64" s="47" t="n"/>
      <c r="F64" s="47" t="n"/>
      <c r="G64" s="47" t="n"/>
      <c r="H64" s="47" t="n"/>
    </row>
    <row r="65" ht="18" customHeight="1">
      <c r="B65" s="46" t="n"/>
      <c r="C65" s="46" t="n"/>
      <c r="D65" s="46" t="n"/>
      <c r="E65" s="46" t="n"/>
      <c r="F65" s="46" t="n"/>
      <c r="G65" s="46" t="n"/>
      <c r="H65" s="46" t="n"/>
    </row>
    <row r="66" ht="18" customHeight="1">
      <c r="B66" s="47" t="n"/>
      <c r="C66" s="47" t="n"/>
      <c r="D66" s="47" t="n"/>
      <c r="E66" s="47" t="n"/>
      <c r="F66" s="47" t="n"/>
      <c r="G66" s="47" t="n"/>
      <c r="H66" s="47" t="n"/>
    </row>
    <row r="67" ht="18" customHeight="1">
      <c r="B67" s="46" t="n"/>
      <c r="C67" s="46" t="n"/>
      <c r="D67" s="46" t="n"/>
      <c r="E67" s="46" t="n"/>
      <c r="F67" s="46" t="n"/>
      <c r="G67" s="46" t="n"/>
      <c r="H67" s="46" t="n"/>
    </row>
    <row r="68" ht="18" customHeight="1">
      <c r="B68" s="47" t="n"/>
      <c r="C68" s="47" t="n"/>
      <c r="D68" s="47" t="n"/>
      <c r="E68" s="47" t="n"/>
      <c r="F68" s="47" t="n"/>
      <c r="G68" s="47" t="n"/>
      <c r="H68" s="47" t="n"/>
    </row>
    <row r="69">
      <c r="B69" s="48" t="inlineStr">
        <is>
          <t>💡 Las nuevas filas se añaden automáticamente desde la app web. También puedes escribir aquí directamente.</t>
        </is>
      </c>
    </row>
  </sheetData>
  <mergeCells count="3">
    <mergeCell ref="B1:H1"/>
    <mergeCell ref="B2:H2"/>
    <mergeCell ref="B69:H6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B82F6"/>
    <outlinePr summaryBelow="1" summaryRight="1"/>
    <pageSetUpPr/>
  </sheetPr>
  <dimension ref="B1:P1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2" customWidth="1" min="16" max="16"/>
  </cols>
  <sheetData>
    <row r="1" ht="40" customHeight="1">
      <c r="B1" s="34" t="inlineStr">
        <is>
          <t>📅 RESUMEN MENSUAL — Año 2026</t>
        </is>
      </c>
    </row>
    <row r="3" ht="20" customHeight="1">
      <c r="C3" s="49" t="inlineStr">
        <is>
          <t>Ene</t>
        </is>
      </c>
      <c r="D3" s="49" t="inlineStr">
        <is>
          <t>Feb</t>
        </is>
      </c>
      <c r="E3" s="49" t="inlineStr">
        <is>
          <t>Mar</t>
        </is>
      </c>
      <c r="F3" s="49" t="inlineStr">
        <is>
          <t>Abr</t>
        </is>
      </c>
      <c r="G3" s="49" t="inlineStr">
        <is>
          <t>May</t>
        </is>
      </c>
      <c r="H3" s="49" t="inlineStr">
        <is>
          <t>Jun</t>
        </is>
      </c>
      <c r="I3" s="49" t="inlineStr">
        <is>
          <t>Jul</t>
        </is>
      </c>
      <c r="J3" s="49" t="inlineStr">
        <is>
          <t>Ago</t>
        </is>
      </c>
      <c r="K3" s="49" t="inlineStr">
        <is>
          <t>Sep</t>
        </is>
      </c>
      <c r="L3" s="49" t="inlineStr">
        <is>
          <t>Oct</t>
        </is>
      </c>
      <c r="M3" s="49" t="inlineStr">
        <is>
          <t>Nov</t>
        </is>
      </c>
      <c r="N3" s="49" t="inlineStr">
        <is>
          <t>Dic</t>
        </is>
      </c>
      <c r="P3" s="50" t="inlineStr">
        <is>
          <t>TOTAL</t>
        </is>
      </c>
    </row>
    <row r="4" ht="18" customHeight="1">
      <c r="B4" s="51" t="inlineStr">
        <is>
          <t>💼 Ingresos Totales</t>
        </is>
      </c>
      <c r="C4" s="52">
        <f>SUMPRODUCT((Transacciones!G:G="Enero")*(Transacciones!E:E="Ingresos"),Transacciones!C:C)</f>
        <v/>
      </c>
      <c r="D4" s="52">
        <f>SUMPRODUCT((Transacciones!G:G="Febrero")*(Transacciones!E:E="Ingresos"),Transacciones!C:C)</f>
        <v/>
      </c>
      <c r="E4" s="52">
        <f>SUMPRODUCT((Transacciones!G:G="Marzo")*(Transacciones!E:E="Ingresos"),Transacciones!C:C)</f>
        <v/>
      </c>
      <c r="F4" s="52">
        <f>SUMPRODUCT((Transacciones!G:G="Abril")*(Transacciones!E:E="Ingresos"),Transacciones!C:C)</f>
        <v/>
      </c>
      <c r="G4" s="52">
        <f>SUMPRODUCT((Transacciones!G:G="Mayo")*(Transacciones!E:E="Ingresos"),Transacciones!C:C)</f>
        <v/>
      </c>
      <c r="H4" s="52">
        <f>SUMPRODUCT((Transacciones!G:G="Junio")*(Transacciones!E:E="Ingresos"),Transacciones!C:C)</f>
        <v/>
      </c>
      <c r="I4" s="52">
        <f>SUMPRODUCT((Transacciones!G:G="Julio")*(Transacciones!E:E="Ingresos"),Transacciones!C:C)</f>
        <v/>
      </c>
      <c r="J4" s="52">
        <f>SUMPRODUCT((Transacciones!G:G="Agosto")*(Transacciones!E:E="Ingresos"),Transacciones!C:C)</f>
        <v/>
      </c>
      <c r="K4" s="52">
        <f>SUMPRODUCT((Transacciones!G:G="Septiembre")*(Transacciones!E:E="Ingresos"),Transacciones!C:C)</f>
        <v/>
      </c>
      <c r="L4" s="52">
        <f>SUMPRODUCT((Transacciones!G:G="Octubre")*(Transacciones!E:E="Ingresos"),Transacciones!C:C)</f>
        <v/>
      </c>
      <c r="M4" s="52">
        <f>SUMPRODUCT((Transacciones!G:G="Noviembre")*(Transacciones!E:E="Ingresos"),Transacciones!C:C)</f>
        <v/>
      </c>
      <c r="N4" s="52">
        <f>SUMPRODUCT((Transacciones!G:G="Diciembre")*(Transacciones!E:E="Ingresos"),Transacciones!C:C)</f>
        <v/>
      </c>
      <c r="P4" s="53">
        <f>SUM(C4:N4)</f>
        <v/>
      </c>
    </row>
    <row r="5" ht="18" customHeight="1">
      <c r="B5" s="54" t="inlineStr">
        <is>
          <t xml:space="preserve">   → Comida</t>
        </is>
      </c>
      <c r="C5" s="55">
        <f>SUMPRODUCT((Transacciones!G:G="Enero")*(Transacciones!E:E="Comida"),Transacciones!C:C)</f>
        <v/>
      </c>
      <c r="D5" s="55">
        <f>SUMPRODUCT((Transacciones!G:G="Febrero")*(Transacciones!E:E="Comida"),Transacciones!C:C)</f>
        <v/>
      </c>
      <c r="E5" s="55">
        <f>SUMPRODUCT((Transacciones!G:G="Marzo")*(Transacciones!E:E="Comida"),Transacciones!C:C)</f>
        <v/>
      </c>
      <c r="F5" s="55">
        <f>SUMPRODUCT((Transacciones!G:G="Abril")*(Transacciones!E:E="Comida"),Transacciones!C:C)</f>
        <v/>
      </c>
      <c r="G5" s="55">
        <f>SUMPRODUCT((Transacciones!G:G="Mayo")*(Transacciones!E:E="Comida"),Transacciones!C:C)</f>
        <v/>
      </c>
      <c r="H5" s="55">
        <f>SUMPRODUCT((Transacciones!G:G="Junio")*(Transacciones!E:E="Comida"),Transacciones!C:C)</f>
        <v/>
      </c>
      <c r="I5" s="55">
        <f>SUMPRODUCT((Transacciones!G:G="Julio")*(Transacciones!E:E="Comida"),Transacciones!C:C)</f>
        <v/>
      </c>
      <c r="J5" s="55">
        <f>SUMPRODUCT((Transacciones!G:G="Agosto")*(Transacciones!E:E="Comida"),Transacciones!C:C)</f>
        <v/>
      </c>
      <c r="K5" s="55">
        <f>SUMPRODUCT((Transacciones!G:G="Septiembre")*(Transacciones!E:E="Comida"),Transacciones!C:C)</f>
        <v/>
      </c>
      <c r="L5" s="55">
        <f>SUMPRODUCT((Transacciones!G:G="Octubre")*(Transacciones!E:E="Comida"),Transacciones!C:C)</f>
        <v/>
      </c>
      <c r="M5" s="55">
        <f>SUMPRODUCT((Transacciones!G:G="Noviembre")*(Transacciones!E:E="Comida"),Transacciones!C:C)</f>
        <v/>
      </c>
      <c r="N5" s="55">
        <f>SUMPRODUCT((Transacciones!G:G="Diciembre")*(Transacciones!E:E="Comida"),Transacciones!C:C)</f>
        <v/>
      </c>
      <c r="P5" s="53">
        <f>SUM(C5:N5)</f>
        <v/>
      </c>
    </row>
    <row r="6" ht="18" customHeight="1">
      <c r="B6" s="56" t="inlineStr">
        <is>
          <t xml:space="preserve">   → Hogar</t>
        </is>
      </c>
      <c r="C6" s="55">
        <f>SUMPRODUCT((Transacciones!G:G="Enero")*(Transacciones!E:E="Hogar"),Transacciones!C:C)</f>
        <v/>
      </c>
      <c r="D6" s="55">
        <f>SUMPRODUCT((Transacciones!G:G="Febrero")*(Transacciones!E:E="Hogar"),Transacciones!C:C)</f>
        <v/>
      </c>
      <c r="E6" s="55">
        <f>SUMPRODUCT((Transacciones!G:G="Marzo")*(Transacciones!E:E="Hogar"),Transacciones!C:C)</f>
        <v/>
      </c>
      <c r="F6" s="55">
        <f>SUMPRODUCT((Transacciones!G:G="Abril")*(Transacciones!E:E="Hogar"),Transacciones!C:C)</f>
        <v/>
      </c>
      <c r="G6" s="55">
        <f>SUMPRODUCT((Transacciones!G:G="Mayo")*(Transacciones!E:E="Hogar"),Transacciones!C:C)</f>
        <v/>
      </c>
      <c r="H6" s="55">
        <f>SUMPRODUCT((Transacciones!G:G="Junio")*(Transacciones!E:E="Hogar"),Transacciones!C:C)</f>
        <v/>
      </c>
      <c r="I6" s="55">
        <f>SUMPRODUCT((Transacciones!G:G="Julio")*(Transacciones!E:E="Hogar"),Transacciones!C:C)</f>
        <v/>
      </c>
      <c r="J6" s="55">
        <f>SUMPRODUCT((Transacciones!G:G="Agosto")*(Transacciones!E:E="Hogar"),Transacciones!C:C)</f>
        <v/>
      </c>
      <c r="K6" s="55">
        <f>SUMPRODUCT((Transacciones!G:G="Septiembre")*(Transacciones!E:E="Hogar"),Transacciones!C:C)</f>
        <v/>
      </c>
      <c r="L6" s="55">
        <f>SUMPRODUCT((Transacciones!G:G="Octubre")*(Transacciones!E:E="Hogar"),Transacciones!C:C)</f>
        <v/>
      </c>
      <c r="M6" s="55">
        <f>SUMPRODUCT((Transacciones!G:G="Noviembre")*(Transacciones!E:E="Hogar"),Transacciones!C:C)</f>
        <v/>
      </c>
      <c r="N6" s="55">
        <f>SUMPRODUCT((Transacciones!G:G="Diciembre")*(Transacciones!E:E="Hogar"),Transacciones!C:C)</f>
        <v/>
      </c>
      <c r="P6" s="53">
        <f>SUM(C6:N6)</f>
        <v/>
      </c>
    </row>
    <row r="7" ht="18" customHeight="1">
      <c r="B7" s="57" t="inlineStr">
        <is>
          <t xml:space="preserve">   → Transporte</t>
        </is>
      </c>
      <c r="C7" s="55">
        <f>SUMPRODUCT((Transacciones!G:G="Enero")*(Transacciones!E:E="Transporte"),Transacciones!C:C)</f>
        <v/>
      </c>
      <c r="D7" s="55">
        <f>SUMPRODUCT((Transacciones!G:G="Febrero")*(Transacciones!E:E="Transporte"),Transacciones!C:C)</f>
        <v/>
      </c>
      <c r="E7" s="55">
        <f>SUMPRODUCT((Transacciones!G:G="Marzo")*(Transacciones!E:E="Transporte"),Transacciones!C:C)</f>
        <v/>
      </c>
      <c r="F7" s="55">
        <f>SUMPRODUCT((Transacciones!G:G="Abril")*(Transacciones!E:E="Transporte"),Transacciones!C:C)</f>
        <v/>
      </c>
      <c r="G7" s="55">
        <f>SUMPRODUCT((Transacciones!G:G="Mayo")*(Transacciones!E:E="Transporte"),Transacciones!C:C)</f>
        <v/>
      </c>
      <c r="H7" s="55">
        <f>SUMPRODUCT((Transacciones!G:G="Junio")*(Transacciones!E:E="Transporte"),Transacciones!C:C)</f>
        <v/>
      </c>
      <c r="I7" s="55">
        <f>SUMPRODUCT((Transacciones!G:G="Julio")*(Transacciones!E:E="Transporte"),Transacciones!C:C)</f>
        <v/>
      </c>
      <c r="J7" s="55">
        <f>SUMPRODUCT((Transacciones!G:G="Agosto")*(Transacciones!E:E="Transporte"),Transacciones!C:C)</f>
        <v/>
      </c>
      <c r="K7" s="55">
        <f>SUMPRODUCT((Transacciones!G:G="Septiembre")*(Transacciones!E:E="Transporte"),Transacciones!C:C)</f>
        <v/>
      </c>
      <c r="L7" s="55">
        <f>SUMPRODUCT((Transacciones!G:G="Octubre")*(Transacciones!E:E="Transporte"),Transacciones!C:C)</f>
        <v/>
      </c>
      <c r="M7" s="55">
        <f>SUMPRODUCT((Transacciones!G:G="Noviembre")*(Transacciones!E:E="Transporte"),Transacciones!C:C)</f>
        <v/>
      </c>
      <c r="N7" s="55">
        <f>SUMPRODUCT((Transacciones!G:G="Diciembre")*(Transacciones!E:E="Transporte"),Transacciones!C:C)</f>
        <v/>
      </c>
      <c r="P7" s="53">
        <f>SUM(C7:N7)</f>
        <v/>
      </c>
    </row>
    <row r="8" ht="18" customHeight="1">
      <c r="B8" s="58" t="inlineStr">
        <is>
          <t xml:space="preserve">   → Salud</t>
        </is>
      </c>
      <c r="C8" s="55">
        <f>SUMPRODUCT((Transacciones!G:G="Enero")*(Transacciones!E:E="Salud"),Transacciones!C:C)</f>
        <v/>
      </c>
      <c r="D8" s="55">
        <f>SUMPRODUCT((Transacciones!G:G="Febrero")*(Transacciones!E:E="Salud"),Transacciones!C:C)</f>
        <v/>
      </c>
      <c r="E8" s="55">
        <f>SUMPRODUCT((Transacciones!G:G="Marzo")*(Transacciones!E:E="Salud"),Transacciones!C:C)</f>
        <v/>
      </c>
      <c r="F8" s="55">
        <f>SUMPRODUCT((Transacciones!G:G="Abril")*(Transacciones!E:E="Salud"),Transacciones!C:C)</f>
        <v/>
      </c>
      <c r="G8" s="55">
        <f>SUMPRODUCT((Transacciones!G:G="Mayo")*(Transacciones!E:E="Salud"),Transacciones!C:C)</f>
        <v/>
      </c>
      <c r="H8" s="55">
        <f>SUMPRODUCT((Transacciones!G:G="Junio")*(Transacciones!E:E="Salud"),Transacciones!C:C)</f>
        <v/>
      </c>
      <c r="I8" s="55">
        <f>SUMPRODUCT((Transacciones!G:G="Julio")*(Transacciones!E:E="Salud"),Transacciones!C:C)</f>
        <v/>
      </c>
      <c r="J8" s="55">
        <f>SUMPRODUCT((Transacciones!G:G="Agosto")*(Transacciones!E:E="Salud"),Transacciones!C:C)</f>
        <v/>
      </c>
      <c r="K8" s="55">
        <f>SUMPRODUCT((Transacciones!G:G="Septiembre")*(Transacciones!E:E="Salud"),Transacciones!C:C)</f>
        <v/>
      </c>
      <c r="L8" s="55">
        <f>SUMPRODUCT((Transacciones!G:G="Octubre")*(Transacciones!E:E="Salud"),Transacciones!C:C)</f>
        <v/>
      </c>
      <c r="M8" s="55">
        <f>SUMPRODUCT((Transacciones!G:G="Noviembre")*(Transacciones!E:E="Salud"),Transacciones!C:C)</f>
        <v/>
      </c>
      <c r="N8" s="55">
        <f>SUMPRODUCT((Transacciones!G:G="Diciembre")*(Transacciones!E:E="Salud"),Transacciones!C:C)</f>
        <v/>
      </c>
      <c r="P8" s="53">
        <f>SUM(C8:N8)</f>
        <v/>
      </c>
    </row>
    <row r="9" ht="18" customHeight="1">
      <c r="B9" s="59" t="inlineStr">
        <is>
          <t xml:space="preserve">   → Ocio</t>
        </is>
      </c>
      <c r="C9" s="55">
        <f>SUMPRODUCT((Transacciones!G:G="Enero")*(Transacciones!E:E="Ocio"),Transacciones!C:C)</f>
        <v/>
      </c>
      <c r="D9" s="55">
        <f>SUMPRODUCT((Transacciones!G:G="Febrero")*(Transacciones!E:E="Ocio"),Transacciones!C:C)</f>
        <v/>
      </c>
      <c r="E9" s="55">
        <f>SUMPRODUCT((Transacciones!G:G="Marzo")*(Transacciones!E:E="Ocio"),Transacciones!C:C)</f>
        <v/>
      </c>
      <c r="F9" s="55">
        <f>SUMPRODUCT((Transacciones!G:G="Abril")*(Transacciones!E:E="Ocio"),Transacciones!C:C)</f>
        <v/>
      </c>
      <c r="G9" s="55">
        <f>SUMPRODUCT((Transacciones!G:G="Mayo")*(Transacciones!E:E="Ocio"),Transacciones!C:C)</f>
        <v/>
      </c>
      <c r="H9" s="55">
        <f>SUMPRODUCT((Transacciones!G:G="Junio")*(Transacciones!E:E="Ocio"),Transacciones!C:C)</f>
        <v/>
      </c>
      <c r="I9" s="55">
        <f>SUMPRODUCT((Transacciones!G:G="Julio")*(Transacciones!E:E="Ocio"),Transacciones!C:C)</f>
        <v/>
      </c>
      <c r="J9" s="55">
        <f>SUMPRODUCT((Transacciones!G:G="Agosto")*(Transacciones!E:E="Ocio"),Transacciones!C:C)</f>
        <v/>
      </c>
      <c r="K9" s="55">
        <f>SUMPRODUCT((Transacciones!G:G="Septiembre")*(Transacciones!E:E="Ocio"),Transacciones!C:C)</f>
        <v/>
      </c>
      <c r="L9" s="55">
        <f>SUMPRODUCT((Transacciones!G:G="Octubre")*(Transacciones!E:E="Ocio"),Transacciones!C:C)</f>
        <v/>
      </c>
      <c r="M9" s="55">
        <f>SUMPRODUCT((Transacciones!G:G="Noviembre")*(Transacciones!E:E="Ocio"),Transacciones!C:C)</f>
        <v/>
      </c>
      <c r="N9" s="55">
        <f>SUMPRODUCT((Transacciones!G:G="Diciembre")*(Transacciones!E:E="Ocio"),Transacciones!C:C)</f>
        <v/>
      </c>
      <c r="P9" s="53">
        <f>SUM(C9:N9)</f>
        <v/>
      </c>
    </row>
    <row r="10" ht="18" customHeight="1">
      <c r="B10" s="60" t="inlineStr">
        <is>
          <t xml:space="preserve">   → Inversiones</t>
        </is>
      </c>
      <c r="C10" s="55">
        <f>SUMPRODUCT((Transacciones!G:G="Enero")*(Transacciones!E:E="Inversiones"),Transacciones!C:C)</f>
        <v/>
      </c>
      <c r="D10" s="55">
        <f>SUMPRODUCT((Transacciones!G:G="Febrero")*(Transacciones!E:E="Inversiones"),Transacciones!C:C)</f>
        <v/>
      </c>
      <c r="E10" s="55">
        <f>SUMPRODUCT((Transacciones!G:G="Marzo")*(Transacciones!E:E="Inversiones"),Transacciones!C:C)</f>
        <v/>
      </c>
      <c r="F10" s="55">
        <f>SUMPRODUCT((Transacciones!G:G="Abril")*(Transacciones!E:E="Inversiones"),Transacciones!C:C)</f>
        <v/>
      </c>
      <c r="G10" s="55">
        <f>SUMPRODUCT((Transacciones!G:G="Mayo")*(Transacciones!E:E="Inversiones"),Transacciones!C:C)</f>
        <v/>
      </c>
      <c r="H10" s="55">
        <f>SUMPRODUCT((Transacciones!G:G="Junio")*(Transacciones!E:E="Inversiones"),Transacciones!C:C)</f>
        <v/>
      </c>
      <c r="I10" s="55">
        <f>SUMPRODUCT((Transacciones!G:G="Julio")*(Transacciones!E:E="Inversiones"),Transacciones!C:C)</f>
        <v/>
      </c>
      <c r="J10" s="55">
        <f>SUMPRODUCT((Transacciones!G:G="Agosto")*(Transacciones!E:E="Inversiones"),Transacciones!C:C)</f>
        <v/>
      </c>
      <c r="K10" s="55">
        <f>SUMPRODUCT((Transacciones!G:G="Septiembre")*(Transacciones!E:E="Inversiones"),Transacciones!C:C)</f>
        <v/>
      </c>
      <c r="L10" s="55">
        <f>SUMPRODUCT((Transacciones!G:G="Octubre")*(Transacciones!E:E="Inversiones"),Transacciones!C:C)</f>
        <v/>
      </c>
      <c r="M10" s="55">
        <f>SUMPRODUCT((Transacciones!G:G="Noviembre")*(Transacciones!E:E="Inversiones"),Transacciones!C:C)</f>
        <v/>
      </c>
      <c r="N10" s="55">
        <f>SUMPRODUCT((Transacciones!G:G="Diciembre")*(Transacciones!E:E="Inversiones"),Transacciones!C:C)</f>
        <v/>
      </c>
      <c r="P10" s="53">
        <f>SUM(C10:N10)</f>
        <v/>
      </c>
    </row>
    <row r="11" ht="18" customHeight="1">
      <c r="B11" s="61" t="inlineStr">
        <is>
          <t xml:space="preserve">   → Trabajo</t>
        </is>
      </c>
      <c r="C11" s="55">
        <f>SUMPRODUCT((Transacciones!G:G="Enero")*(Transacciones!E:E="Trabajo"),Transacciones!C:C)</f>
        <v/>
      </c>
      <c r="D11" s="55">
        <f>SUMPRODUCT((Transacciones!G:G="Febrero")*(Transacciones!E:E="Trabajo"),Transacciones!C:C)</f>
        <v/>
      </c>
      <c r="E11" s="55">
        <f>SUMPRODUCT((Transacciones!G:G="Marzo")*(Transacciones!E:E="Trabajo"),Transacciones!C:C)</f>
        <v/>
      </c>
      <c r="F11" s="55">
        <f>SUMPRODUCT((Transacciones!G:G="Abril")*(Transacciones!E:E="Trabajo"),Transacciones!C:C)</f>
        <v/>
      </c>
      <c r="G11" s="55">
        <f>SUMPRODUCT((Transacciones!G:G="Mayo")*(Transacciones!E:E="Trabajo"),Transacciones!C:C)</f>
        <v/>
      </c>
      <c r="H11" s="55">
        <f>SUMPRODUCT((Transacciones!G:G="Junio")*(Transacciones!E:E="Trabajo"),Transacciones!C:C)</f>
        <v/>
      </c>
      <c r="I11" s="55">
        <f>SUMPRODUCT((Transacciones!G:G="Julio")*(Transacciones!E:E="Trabajo"),Transacciones!C:C)</f>
        <v/>
      </c>
      <c r="J11" s="55">
        <f>SUMPRODUCT((Transacciones!G:G="Agosto")*(Transacciones!E:E="Trabajo"),Transacciones!C:C)</f>
        <v/>
      </c>
      <c r="K11" s="55">
        <f>SUMPRODUCT((Transacciones!G:G="Septiembre")*(Transacciones!E:E="Trabajo"),Transacciones!C:C)</f>
        <v/>
      </c>
      <c r="L11" s="55">
        <f>SUMPRODUCT((Transacciones!G:G="Octubre")*(Transacciones!E:E="Trabajo"),Transacciones!C:C)</f>
        <v/>
      </c>
      <c r="M11" s="55">
        <f>SUMPRODUCT((Transacciones!G:G="Noviembre")*(Transacciones!E:E="Trabajo"),Transacciones!C:C)</f>
        <v/>
      </c>
      <c r="N11" s="55">
        <f>SUMPRODUCT((Transacciones!G:G="Diciembre")*(Transacciones!E:E="Trabajo"),Transacciones!C:C)</f>
        <v/>
      </c>
      <c r="P11" s="53">
        <f>SUM(C11:N11)</f>
        <v/>
      </c>
    </row>
    <row r="12" ht="18" customHeight="1">
      <c r="B12" s="62" t="inlineStr">
        <is>
          <t xml:space="preserve">   → Otros</t>
        </is>
      </c>
      <c r="C12" s="55">
        <f>SUMPRODUCT((Transacciones!G:G="Enero")*(Transacciones!E:E="Otros"),Transacciones!C:C)</f>
        <v/>
      </c>
      <c r="D12" s="55">
        <f>SUMPRODUCT((Transacciones!G:G="Febrero")*(Transacciones!E:E="Otros"),Transacciones!C:C)</f>
        <v/>
      </c>
      <c r="E12" s="55">
        <f>SUMPRODUCT((Transacciones!G:G="Marzo")*(Transacciones!E:E="Otros"),Transacciones!C:C)</f>
        <v/>
      </c>
      <c r="F12" s="55">
        <f>SUMPRODUCT((Transacciones!G:G="Abril")*(Transacciones!E:E="Otros"),Transacciones!C:C)</f>
        <v/>
      </c>
      <c r="G12" s="55">
        <f>SUMPRODUCT((Transacciones!G:G="Mayo")*(Transacciones!E:E="Otros"),Transacciones!C:C)</f>
        <v/>
      </c>
      <c r="H12" s="55">
        <f>SUMPRODUCT((Transacciones!G:G="Junio")*(Transacciones!E:E="Otros"),Transacciones!C:C)</f>
        <v/>
      </c>
      <c r="I12" s="55">
        <f>SUMPRODUCT((Transacciones!G:G="Julio")*(Transacciones!E:E="Otros"),Transacciones!C:C)</f>
        <v/>
      </c>
      <c r="J12" s="55">
        <f>SUMPRODUCT((Transacciones!G:G="Agosto")*(Transacciones!E:E="Otros"),Transacciones!C:C)</f>
        <v/>
      </c>
      <c r="K12" s="55">
        <f>SUMPRODUCT((Transacciones!G:G="Septiembre")*(Transacciones!E:E="Otros"),Transacciones!C:C)</f>
        <v/>
      </c>
      <c r="L12" s="55">
        <f>SUMPRODUCT((Transacciones!G:G="Octubre")*(Transacciones!E:E="Otros"),Transacciones!C:C)</f>
        <v/>
      </c>
      <c r="M12" s="55">
        <f>SUMPRODUCT((Transacciones!G:G="Noviembre")*(Transacciones!E:E="Otros"),Transacciones!C:C)</f>
        <v/>
      </c>
      <c r="N12" s="55">
        <f>SUMPRODUCT((Transacciones!G:G="Diciembre")*(Transacciones!E:E="Otros"),Transacciones!C:C)</f>
        <v/>
      </c>
      <c r="P12" s="53">
        <f>SUM(C12:N12)</f>
        <v/>
      </c>
    </row>
    <row r="13" ht="18" customHeight="1">
      <c r="B13" s="63" t="inlineStr">
        <is>
          <t>💸 Total Gastos</t>
        </is>
      </c>
      <c r="C13" s="64">
        <f>C5+C6+C7+C8+C9+C10+C11+C12</f>
        <v/>
      </c>
      <c r="D13" s="64">
        <f>D5+D6+D7+D8+D9+D10+D11+D12</f>
        <v/>
      </c>
      <c r="E13" s="64">
        <f>E5+E6+E7+E8+E9+E10+E11+E12</f>
        <v/>
      </c>
      <c r="F13" s="64">
        <f>F5+F6+F7+F8+F9+F10+F11+F12</f>
        <v/>
      </c>
      <c r="G13" s="64">
        <f>G5+G6+G7+G8+G9+G10+G11+G12</f>
        <v/>
      </c>
      <c r="H13" s="64">
        <f>H5+H6+H7+H8+H9+H10+H11+H12</f>
        <v/>
      </c>
      <c r="I13" s="64">
        <f>I5+I6+I7+I8+I9+I10+I11+I12</f>
        <v/>
      </c>
      <c r="J13" s="64">
        <f>J5+J6+J7+J8+J9+J10+J11+J12</f>
        <v/>
      </c>
      <c r="K13" s="64">
        <f>K5+K6+K7+K8+K9+K10+K11+K12</f>
        <v/>
      </c>
      <c r="L13" s="64">
        <f>L5+L6+L7+L8+L9+L10+L11+L12</f>
        <v/>
      </c>
      <c r="M13" s="64">
        <f>M5+M6+M7+M8+M9+M10+M11+M12</f>
        <v/>
      </c>
      <c r="N13" s="64">
        <f>N5+N6+N7+N8+N9+N10+N11+N12</f>
        <v/>
      </c>
      <c r="P13" s="53">
        <f>SUM(C13:N13)</f>
        <v/>
      </c>
    </row>
    <row r="14" ht="18" customHeight="1">
      <c r="B14" s="65" t="inlineStr">
        <is>
          <t>💰 Saldo Neto</t>
        </is>
      </c>
      <c r="C14" s="66">
        <f>C4-C13</f>
        <v/>
      </c>
      <c r="D14" s="66">
        <f>D4-D13</f>
        <v/>
      </c>
      <c r="E14" s="66">
        <f>E4-E13</f>
        <v/>
      </c>
      <c r="F14" s="66">
        <f>F4-F13</f>
        <v/>
      </c>
      <c r="G14" s="66">
        <f>G4-G13</f>
        <v/>
      </c>
      <c r="H14" s="66">
        <f>H4-H13</f>
        <v/>
      </c>
      <c r="I14" s="66">
        <f>I4-I13</f>
        <v/>
      </c>
      <c r="J14" s="66">
        <f>J4-J13</f>
        <v/>
      </c>
      <c r="K14" s="66">
        <f>K4-K13</f>
        <v/>
      </c>
      <c r="L14" s="66">
        <f>L4-L13</f>
        <v/>
      </c>
      <c r="M14" s="66">
        <f>M4-M13</f>
        <v/>
      </c>
      <c r="N14" s="66">
        <f>N4-N13</f>
        <v/>
      </c>
      <c r="P14" s="53">
        <f>SUM(C14:N14)</f>
        <v/>
      </c>
    </row>
    <row r="15" ht="18" customHeight="1">
      <c r="B15" s="67" t="inlineStr">
        <is>
          <t>📈 % Ahorro</t>
        </is>
      </c>
      <c r="C15" s="68">
        <f>IF(C4&gt;0,(C4-C13)/C4,0)</f>
        <v/>
      </c>
      <c r="D15" s="68">
        <f>IF(D4&gt;0,(D4-D13)/D4,0)</f>
        <v/>
      </c>
      <c r="E15" s="68">
        <f>IF(E4&gt;0,(E4-E13)/E4,0)</f>
        <v/>
      </c>
      <c r="F15" s="68">
        <f>IF(F4&gt;0,(F4-F13)/F4,0)</f>
        <v/>
      </c>
      <c r="G15" s="68">
        <f>IF(G4&gt;0,(G4-G13)/G4,0)</f>
        <v/>
      </c>
      <c r="H15" s="68">
        <f>IF(H4&gt;0,(H4-H13)/H4,0)</f>
        <v/>
      </c>
      <c r="I15" s="68">
        <f>IF(I4&gt;0,(I4-I13)/I4,0)</f>
        <v/>
      </c>
      <c r="J15" s="68">
        <f>IF(J4&gt;0,(J4-J13)/J4,0)</f>
        <v/>
      </c>
      <c r="K15" s="68">
        <f>IF(K4&gt;0,(K4-K13)/K4,0)</f>
        <v/>
      </c>
      <c r="L15" s="68">
        <f>IF(L4&gt;0,(L4-L13)/L4,0)</f>
        <v/>
      </c>
      <c r="M15" s="68">
        <f>IF(M4&gt;0,(M4-M13)/M4,0)</f>
        <v/>
      </c>
      <c r="N15" s="68">
        <f>IF(N4&gt;0,(N4-N13)/N4,0)</f>
        <v/>
      </c>
      <c r="P15" s="69">
        <f>IF(P4&gt;0,P14/P4,0)</f>
        <v/>
      </c>
    </row>
  </sheetData>
  <mergeCells count="1">
    <mergeCell ref="B1:O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F59E0B"/>
    <outlinePr summaryBelow="1" summaryRight="1"/>
    <pageSetUpPr/>
  </sheetPr>
  <dimension ref="B1:H1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6" customWidth="1" min="3" max="3"/>
    <col width="16" customWidth="1" min="4" max="4"/>
    <col width="14" customWidth="1" min="5" max="5"/>
    <col width="12" customWidth="1" min="6" max="6"/>
    <col width="14" customWidth="1" min="7" max="7"/>
    <col width="18" customWidth="1" min="8" max="8"/>
  </cols>
  <sheetData>
    <row r="1" ht="40" customHeight="1">
      <c r="B1" s="34" t="inlineStr">
        <is>
          <t>🎯 CONTROL DE PRESUPUESTO MENSUAL</t>
        </is>
      </c>
    </row>
    <row r="2" ht="18" customHeight="1">
      <c r="B2" s="48" t="inlineStr">
        <is>
          <t>📌 Los valores en AZUL son tus presupuestos. Edítalos a tu gusto.</t>
        </is>
      </c>
    </row>
    <row r="4" ht="22" customHeight="1">
      <c r="B4" s="14" t="inlineStr">
        <is>
          <t>Categoría</t>
        </is>
      </c>
      <c r="C4" s="14" t="inlineStr">
        <is>
          <t>Presupuesto (€)</t>
        </is>
      </c>
      <c r="D4" s="14" t="inlineStr">
        <is>
          <t>Gastado (€)</t>
        </is>
      </c>
      <c r="E4" s="14" t="inlineStr">
        <is>
          <t>Restante (€)</t>
        </is>
      </c>
      <c r="F4" s="14" t="inlineStr">
        <is>
          <t>% Usado</t>
        </is>
      </c>
      <c r="G4" s="14" t="inlineStr">
        <is>
          <t>Estado</t>
        </is>
      </c>
      <c r="H4" s="14" t="inlineStr">
        <is>
          <t>Barra</t>
        </is>
      </c>
    </row>
    <row r="5" ht="20" customHeight="1">
      <c r="B5" s="45" t="inlineStr">
        <is>
          <t>Comida</t>
        </is>
      </c>
      <c r="C5" s="70" t="n">
        <v>300</v>
      </c>
      <c r="D5" s="21">
        <f>SUMIF(Transacciones!E:E,"Comida",Transacciones!C:C)</f>
        <v/>
      </c>
      <c r="E5" s="21">
        <f>C5-D5</f>
        <v/>
      </c>
      <c r="F5" s="22">
        <f>IF(C5&gt;0,D5/C5,0)</f>
        <v/>
      </c>
      <c r="G5" s="24">
        <f>IF(F5&gt;=1,"🔴 Excedido",IF(F5&gt;=0.8,"🟡 Alerta","🟢 OK"))</f>
        <v/>
      </c>
      <c r="H5" s="71">
        <f>REPT("█",MIN(INT(F5*10),10))&amp;REPT("░",MAX(10-INT(F5*10),0))</f>
        <v/>
      </c>
    </row>
    <row r="6" ht="20" customHeight="1">
      <c r="B6" s="44" t="inlineStr">
        <is>
          <t>Hogar</t>
        </is>
      </c>
      <c r="C6" s="72" t="n">
        <v>700</v>
      </c>
      <c r="D6" s="16">
        <f>SUMIF(Transacciones!E:E,"Hogar",Transacciones!C:C)</f>
        <v/>
      </c>
      <c r="E6" s="16">
        <f>C6-D6</f>
        <v/>
      </c>
      <c r="F6" s="17">
        <f>IF(C6&gt;0,D6/C6,0)</f>
        <v/>
      </c>
      <c r="G6" s="19">
        <f>IF(F6&gt;=1,"🔴 Excedido",IF(F6&gt;=0.8,"🟡 Alerta","🟢 OK"))</f>
        <v/>
      </c>
      <c r="H6" s="73">
        <f>REPT("█",MIN(INT(F6*10),10))&amp;REPT("░",MAX(10-INT(F6*10),0))</f>
        <v/>
      </c>
    </row>
    <row r="7" ht="20" customHeight="1">
      <c r="B7" s="74" t="inlineStr">
        <is>
          <t>Transporte</t>
        </is>
      </c>
      <c r="C7" s="70" t="n">
        <v>100</v>
      </c>
      <c r="D7" s="21">
        <f>SUMIF(Transacciones!E:E,"Transporte",Transacciones!C:C)</f>
        <v/>
      </c>
      <c r="E7" s="21">
        <f>C7-D7</f>
        <v/>
      </c>
      <c r="F7" s="22">
        <f>IF(C7&gt;0,D7/C7,0)</f>
        <v/>
      </c>
      <c r="G7" s="24">
        <f>IF(F7&gt;=1,"🔴 Excedido",IF(F7&gt;=0.8,"🟡 Alerta","🟢 OK"))</f>
        <v/>
      </c>
      <c r="H7" s="75">
        <f>REPT("█",MIN(INT(F7*10),10))&amp;REPT("░",MAX(10-INT(F7*10),0))</f>
        <v/>
      </c>
    </row>
    <row r="8" ht="20" customHeight="1">
      <c r="B8" s="42" t="inlineStr">
        <is>
          <t>Salud</t>
        </is>
      </c>
      <c r="C8" s="72" t="n">
        <v>80</v>
      </c>
      <c r="D8" s="16">
        <f>SUMIF(Transacciones!E:E,"Salud",Transacciones!C:C)</f>
        <v/>
      </c>
      <c r="E8" s="16">
        <f>C8-D8</f>
        <v/>
      </c>
      <c r="F8" s="17">
        <f>IF(C8&gt;0,D8/C8,0)</f>
        <v/>
      </c>
      <c r="G8" s="19">
        <f>IF(F8&gt;=1,"🔴 Excedido",IF(F8&gt;=0.8,"🟡 Alerta","🟢 OK"))</f>
        <v/>
      </c>
      <c r="H8" s="76">
        <f>REPT("█",MIN(INT(F8*10),10))&amp;REPT("░",MAX(10-INT(F8*10),0))</f>
        <v/>
      </c>
    </row>
    <row r="9" ht="20" customHeight="1">
      <c r="B9" s="41" t="inlineStr">
        <is>
          <t>Ocio</t>
        </is>
      </c>
      <c r="C9" s="70" t="n">
        <v>150</v>
      </c>
      <c r="D9" s="21">
        <f>SUMIF(Transacciones!E:E,"Ocio",Transacciones!C:C)</f>
        <v/>
      </c>
      <c r="E9" s="21">
        <f>C9-D9</f>
        <v/>
      </c>
      <c r="F9" s="22">
        <f>IF(C9&gt;0,D9/C9,0)</f>
        <v/>
      </c>
      <c r="G9" s="24">
        <f>IF(F9&gt;=1,"🔴 Excedido",IF(F9&gt;=0.8,"🟡 Alerta","🟢 OK"))</f>
        <v/>
      </c>
      <c r="H9" s="77">
        <f>REPT("█",MIN(INT(F9*10),10))&amp;REPT("░",MAX(10-INT(F9*10),0))</f>
        <v/>
      </c>
    </row>
    <row r="10" ht="20" customHeight="1">
      <c r="B10" s="78" t="inlineStr">
        <is>
          <t>Inversiones</t>
        </is>
      </c>
      <c r="C10" s="72" t="n">
        <v>200</v>
      </c>
      <c r="D10" s="16">
        <f>SUMIF(Transacciones!E:E,"Inversiones",Transacciones!C:C)</f>
        <v/>
      </c>
      <c r="E10" s="16">
        <f>C10-D10</f>
        <v/>
      </c>
      <c r="F10" s="17">
        <f>IF(C10&gt;0,D10/C10,0)</f>
        <v/>
      </c>
      <c r="G10" s="19">
        <f>IF(F10&gt;=1,"🔴 Excedido",IF(F10&gt;=0.8,"🟡 Alerta","🟢 OK"))</f>
        <v/>
      </c>
      <c r="H10" s="79">
        <f>REPT("█",MIN(INT(F10*10),10))&amp;REPT("░",MAX(10-INT(F10*10),0))</f>
        <v/>
      </c>
    </row>
    <row r="11" ht="20" customHeight="1">
      <c r="B11" s="43" t="inlineStr">
        <is>
          <t>Trabajo</t>
        </is>
      </c>
      <c r="C11" s="70" t="n">
        <v>100</v>
      </c>
      <c r="D11" s="21">
        <f>SUMIF(Transacciones!E:E,"Trabajo",Transacciones!C:C)</f>
        <v/>
      </c>
      <c r="E11" s="21">
        <f>C11-D11</f>
        <v/>
      </c>
      <c r="F11" s="22">
        <f>IF(C11&gt;0,D11/C11,0)</f>
        <v/>
      </c>
      <c r="G11" s="24">
        <f>IF(F11&gt;=1,"🔴 Excedido",IF(F11&gt;=0.8,"🟡 Alerta","🟢 OK"))</f>
        <v/>
      </c>
      <c r="H11" s="80">
        <f>REPT("█",MIN(INT(F11*10),10))&amp;REPT("░",MAX(10-INT(F11*10),0))</f>
        <v/>
      </c>
    </row>
    <row r="12" ht="20" customHeight="1">
      <c r="B12" s="81" t="inlineStr">
        <is>
          <t>Otros</t>
        </is>
      </c>
      <c r="C12" s="72" t="n">
        <v>100</v>
      </c>
      <c r="D12" s="16">
        <f>SUMIF(Transacciones!E:E,"Otros",Transacciones!C:C)</f>
        <v/>
      </c>
      <c r="E12" s="16">
        <f>C12-D12</f>
        <v/>
      </c>
      <c r="F12" s="17">
        <f>IF(C12&gt;0,D12/C12,0)</f>
        <v/>
      </c>
      <c r="G12" s="19">
        <f>IF(F12&gt;=1,"🔴 Excedido",IF(F12&gt;=0.8,"🟡 Alerta","🟢 OK"))</f>
        <v/>
      </c>
      <c r="H12" s="82">
        <f>REPT("█",MIN(INT(F12*10),10))&amp;REPT("░",MAX(10-INT(F12*10),0))</f>
        <v/>
      </c>
    </row>
    <row r="13" ht="22" customHeight="1">
      <c r="B13" s="50" t="inlineStr">
        <is>
          <t>TOTAL</t>
        </is>
      </c>
      <c r="C13" s="32">
        <f>SUM(C5:C12)</f>
        <v/>
      </c>
      <c r="D13" s="32">
        <f>SUM(D5:D12)</f>
        <v/>
      </c>
      <c r="E13" s="32">
        <f>C13-D13</f>
        <v/>
      </c>
      <c r="F13" s="83">
        <f>IF(C13&gt;0,D13/C13,0)</f>
        <v/>
      </c>
      <c r="G13" s="50">
        <f>IF(F13&gt;=1,"🔴 Excedido",IF(F13&gt;=0.8,"🟡 Alerta","🟢 OK"))</f>
        <v/>
      </c>
      <c r="H13" s="50" t="inlineStr"/>
    </row>
  </sheetData>
  <mergeCells count="2">
    <mergeCell ref="B1:H1"/>
    <mergeCell ref="B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4A3B8"/>
    <outlinePr summaryBelow="1" summaryRight="1"/>
    <pageSetUpPr/>
  </sheetPr>
  <dimension ref="B1:B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 ht="40" customHeight="1">
      <c r="B1" s="84" t="inlineStr">
        <is>
          <t>ℹ️ CÓMO USAR ESTE GESTOR DE FINANZAS</t>
        </is>
      </c>
    </row>
    <row r="3" ht="8" customHeight="1">
      <c r="B3" s="85" t="inlineStr"/>
    </row>
    <row r="4" ht="20" customHeight="1">
      <c r="B4" s="12" t="inlineStr">
        <is>
          <t>📱 OPCIÓN 1 — Desde la App Web (recomendado)</t>
        </is>
      </c>
    </row>
    <row r="5" ht="20" customHeight="1">
      <c r="B5" s="85" t="inlineStr">
        <is>
          <t xml:space="preserve">  1. Abre la URL de tu app web desde el móvil o PC</t>
        </is>
      </c>
    </row>
    <row r="6" ht="20" customHeight="1">
      <c r="B6" s="85" t="inlineStr">
        <is>
          <t xml:space="preserve">  2. Escribe una transacción como 'pan 1euro' o 'gasolina 45€'</t>
        </is>
      </c>
    </row>
    <row r="7" ht="20" customHeight="1">
      <c r="B7" s="85" t="inlineStr">
        <is>
          <t xml:space="preserve">  3. La IA la clasifica y añade aquí automáticamente</t>
        </is>
      </c>
    </row>
    <row r="8" ht="8" customHeight="1">
      <c r="B8" s="85" t="inlineStr"/>
    </row>
    <row r="9" ht="20" customHeight="1">
      <c r="B9" s="86" t="inlineStr">
        <is>
          <t>✍️ OPCIÓN 2 — Añadir manualmente en esta hoja</t>
        </is>
      </c>
    </row>
    <row r="10" ht="20" customHeight="1">
      <c r="B10" s="85" t="inlineStr">
        <is>
          <t xml:space="preserve">  1. Ve a la hoja 'Transacciones'</t>
        </is>
      </c>
    </row>
    <row r="11" ht="20" customHeight="1">
      <c r="B11" s="85" t="inlineStr">
        <is>
          <t xml:space="preserve">  2. Rellena: Descripción | Monto | Fecha | Categoría | Tipo | Mes | Notas</t>
        </is>
      </c>
    </row>
    <row r="12" ht="20" customHeight="1">
      <c r="B12" s="85" t="inlineStr">
        <is>
          <t xml:space="preserve">  3. El Dashboard se actualiza automáticamente</t>
        </is>
      </c>
    </row>
    <row r="13" ht="8" customHeight="1">
      <c r="B13" s="85" t="inlineStr"/>
    </row>
    <row r="14" ht="20" customHeight="1">
      <c r="B14" s="13" t="inlineStr">
        <is>
          <t>📊 HOJAS DEL ARCHIVO</t>
        </is>
      </c>
    </row>
    <row r="15" ht="20" customHeight="1">
      <c r="B15" s="85" t="inlineStr">
        <is>
          <t xml:space="preserve">  📊 Dashboard — Resumen visual con KPIs y estado del presupuesto</t>
        </is>
      </c>
    </row>
    <row r="16" ht="20" customHeight="1">
      <c r="B16" s="85" t="inlineStr">
        <is>
          <t xml:space="preserve">  📝 Transacciones — Todos los movimientos (la app escribe aquí)</t>
        </is>
      </c>
    </row>
    <row r="17" ht="20" customHeight="1">
      <c r="B17" s="85" t="inlineStr">
        <is>
          <t xml:space="preserve">  📅 Resumen Mensual — Comparativa mes a mes del año</t>
        </is>
      </c>
    </row>
    <row r="18" ht="20" customHeight="1">
      <c r="B18" s="85" t="inlineStr">
        <is>
          <t xml:space="preserve">  🎯 Presupuesto — Control de presupuesto por categoría con alertas</t>
        </is>
      </c>
    </row>
    <row r="19" ht="8" customHeight="1">
      <c r="B19" s="85" t="inlineStr"/>
    </row>
    <row r="20" ht="20" customHeight="1">
      <c r="B20" s="87" t="inlineStr">
        <is>
          <t>🎨 CÓDIGO DE COLORES</t>
        </is>
      </c>
    </row>
    <row r="21" ht="20" customHeight="1">
      <c r="B21" s="85" t="inlineStr">
        <is>
          <t xml:space="preserve">  🔵 Azul — Valores que TÚ puedes editar (presupuestos, inputs)</t>
        </is>
      </c>
    </row>
    <row r="22" ht="20" customHeight="1">
      <c r="B22" s="85" t="inlineStr">
        <is>
          <t xml:space="preserve">  ⚫ Negro — Fórmulas automáticas (no tocar)</t>
        </is>
      </c>
    </row>
    <row r="23" ht="20" customHeight="1">
      <c r="B23" s="85" t="inlineStr">
        <is>
          <t xml:space="preserve">  🟢 Verde — Categoría Ingresos</t>
        </is>
      </c>
    </row>
    <row r="24" ht="8" customHeight="1">
      <c r="B24" s="85" t="inlineStr"/>
    </row>
    <row r="25" ht="20" customHeight="1">
      <c r="B25" s="88" t="inlineStr">
        <is>
          <t>📂 CATEGORÍAS DISPONIBLES</t>
        </is>
      </c>
    </row>
    <row r="26" ht="20" customHeight="1">
      <c r="B26" s="85" t="inlineStr">
        <is>
          <t xml:space="preserve">  Comida · Hogar · Transporte · Salud · Ocio · Inversiones · Trabajo · Otros · Ingresos</t>
        </is>
      </c>
    </row>
    <row r="27" ht="8" customHeight="1">
      <c r="B27" s="85" t="inlineStr"/>
    </row>
    <row r="28" ht="20" customHeight="1">
      <c r="B28" s="89" t="inlineStr">
        <is>
          <t>💡 CONSEJOS</t>
        </is>
      </c>
    </row>
    <row r="29" ht="20" customHeight="1">
      <c r="B29" s="85" t="inlineStr">
        <is>
          <t xml:space="preserve">  • Ajusta los presupuestos en la hoja '🎯 Presupuesto' (valores en azul)</t>
        </is>
      </c>
    </row>
    <row r="30" ht="20" customHeight="1">
      <c r="B30" s="85" t="inlineStr">
        <is>
          <t xml:space="preserve">  • El campo 'Mes' en Transacciones debe coincidir con el nombre exacto (ej: 'Enero')</t>
        </is>
      </c>
    </row>
    <row r="31" ht="20" customHeight="1">
      <c r="B31" s="85" t="inlineStr">
        <is>
          <t xml:space="preserve">  • Haz una copia del archivo cada mes para tener histórico</t>
        </is>
      </c>
    </row>
  </sheetData>
  <mergeCells count="1">
    <mergeCell ref="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2026-05-23T15:56:02Z</dcterms:created>
  <dcterms:modified xmlns:dcterms="http://purl.org/dc/terms/" xmlns:xsi="http://www.w3.org/2001/XMLSchema-instance" xsi:type="dcterms:W3CDTF">2026-05-23T15:56:03Z</dcterms:modified>
</cp:coreProperties>
</file>